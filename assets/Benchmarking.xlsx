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D:\USUARIO NO BORRAR\Documents\GitHub\asesores\assets\"/>
    </mc:Choice>
  </mc:AlternateContent>
  <xr:revisionPtr revIDLastSave="0" documentId="13_ncr:1_{363008FC-35CB-42BC-86E0-A3A48175F96A}" xr6:coauthVersionLast="47" xr6:coauthVersionMax="47" xr10:uidLastSave="{00000000-0000-0000-0000-000000000000}"/>
  <bookViews>
    <workbookView xWindow="-120" yWindow="-120" windowWidth="20730" windowHeight="11040" activeTab="3" xr2:uid="{F3156A63-ABA6-4DCB-AB8A-B4C8C83E2F35}"/>
  </bookViews>
  <sheets>
    <sheet name="FILTRO" sheetId="9" r:id="rId1"/>
    <sheet name="HOGAR - CANAL CALLE" sheetId="6" r:id="rId2"/>
    <sheet name="MOVIL - CANAL PDV" sheetId="7" r:id="rId3"/>
    <sheet name="PREPAGO - CANAL TAT" sheetId="8" r:id="rId4"/>
  </sheets>
  <definedNames>
    <definedName name="_xlnm._FilterDatabase" localSheetId="0" hidden="1">FILTRO!$A$1:$N$32</definedName>
    <definedName name="_xlnm._FilterDatabase" localSheetId="1" hidden="1">'HOGAR - CANAL CALLE'!$A$1:$B$39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84" i="6" l="1"/>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44" i="6"/>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4">
    <bk>
      <extLst>
        <ext uri="{3e2802c4-a4d2-4d8b-9148-e3be6c30e623}">
          <xlrd:rvb i="0"/>
        </ext>
      </extLst>
    </bk>
    <bk>
      <extLst>
        <ext uri="{3e2802c4-a4d2-4d8b-9148-e3be6c30e623}">
          <xlrd:rvb i="12"/>
        </ext>
      </extLst>
    </bk>
    <bk>
      <extLst>
        <ext uri="{3e2802c4-a4d2-4d8b-9148-e3be6c30e623}">
          <xlrd:rvb i="23"/>
        </ext>
      </extLst>
    </bk>
    <bk>
      <extLst>
        <ext uri="{3e2802c4-a4d2-4d8b-9148-e3be6c30e623}">
          <xlrd:rvb i="33"/>
        </ext>
      </extLst>
    </bk>
    <bk>
      <extLst>
        <ext uri="{3e2802c4-a4d2-4d8b-9148-e3be6c30e623}">
          <xlrd:rvb i="47"/>
        </ext>
      </extLst>
    </bk>
    <bk>
      <extLst>
        <ext uri="{3e2802c4-a4d2-4d8b-9148-e3be6c30e623}">
          <xlrd:rvb i="57"/>
        </ext>
      </extLst>
    </bk>
    <bk>
      <extLst>
        <ext uri="{3e2802c4-a4d2-4d8b-9148-e3be6c30e623}">
          <xlrd:rvb i="69"/>
        </ext>
      </extLst>
    </bk>
    <bk>
      <extLst>
        <ext uri="{3e2802c4-a4d2-4d8b-9148-e3be6c30e623}">
          <xlrd:rvb i="80"/>
        </ext>
      </extLst>
    </bk>
    <bk>
      <extLst>
        <ext uri="{3e2802c4-a4d2-4d8b-9148-e3be6c30e623}">
          <xlrd:rvb i="90"/>
        </ext>
      </extLst>
    </bk>
    <bk>
      <extLst>
        <ext uri="{3e2802c4-a4d2-4d8b-9148-e3be6c30e623}">
          <xlrd:rvb i="98"/>
        </ext>
      </extLst>
    </bk>
    <bk>
      <extLst>
        <ext uri="{3e2802c4-a4d2-4d8b-9148-e3be6c30e623}">
          <xlrd:rvb i="106"/>
        </ext>
      </extLst>
    </bk>
    <bk>
      <extLst>
        <ext uri="{3e2802c4-a4d2-4d8b-9148-e3be6c30e623}">
          <xlrd:rvb i="116"/>
        </ext>
      </extLst>
    </bk>
    <bk>
      <extLst>
        <ext uri="{3e2802c4-a4d2-4d8b-9148-e3be6c30e623}">
          <xlrd:rvb i="123"/>
        </ext>
      </extLst>
    </bk>
    <bk>
      <extLst>
        <ext uri="{3e2802c4-a4d2-4d8b-9148-e3be6c30e623}">
          <xlrd:rvb i="133"/>
        </ext>
      </extLst>
    </bk>
  </futureMetadata>
  <valueMetadata count="14">
    <bk>
      <rc t="1" v="0"/>
    </bk>
    <bk>
      <rc t="1" v="1"/>
    </bk>
    <bk>
      <rc t="1" v="2"/>
    </bk>
    <bk>
      <rc t="1" v="3"/>
    </bk>
    <bk>
      <rc t="1" v="4"/>
    </bk>
    <bk>
      <rc t="1" v="5"/>
    </bk>
    <bk>
      <rc t="1" v="6"/>
    </bk>
    <bk>
      <rc t="1" v="7"/>
    </bk>
    <bk>
      <rc t="1" v="8"/>
    </bk>
    <bk>
      <rc t="1" v="9"/>
    </bk>
    <bk>
      <rc t="1" v="10"/>
    </bk>
    <bk>
      <rc t="1" v="11"/>
    </bk>
    <bk>
      <rc t="1" v="12"/>
    </bk>
    <bk>
      <rc t="1" v="13"/>
    </bk>
  </valueMetadata>
</metadata>
</file>

<file path=xl/sharedStrings.xml><?xml version="1.0" encoding="utf-8"?>
<sst xmlns="http://schemas.openxmlformats.org/spreadsheetml/2006/main" count="3134" uniqueCount="473">
  <si>
    <t>Operador</t>
  </si>
  <si>
    <t>Red</t>
  </si>
  <si>
    <t>Segmento</t>
  </si>
  <si>
    <t>Categoria</t>
  </si>
  <si>
    <t>Paquete</t>
  </si>
  <si>
    <t>decos incluidos</t>
  </si>
  <si>
    <t>Cobro de Instalacion</t>
  </si>
  <si>
    <t>Cantidad de OTTS Incluidas</t>
  </si>
  <si>
    <t>Operador TAT</t>
  </si>
  <si>
    <t>Descripción del Paquete</t>
  </si>
  <si>
    <t>vigencia</t>
  </si>
  <si>
    <t>CIUDAD</t>
  </si>
  <si>
    <t>REGIÓN</t>
  </si>
  <si>
    <t>Para que Canales de venta aplica</t>
  </si>
  <si>
    <t>Claro</t>
  </si>
  <si>
    <t>HFC</t>
  </si>
  <si>
    <t>Hogar</t>
  </si>
  <si>
    <t>Sencillo</t>
  </si>
  <si>
    <t>Si</t>
  </si>
  <si>
    <t>Todo incluido</t>
  </si>
  <si>
    <t>NACIONAL</t>
  </si>
  <si>
    <t>Calle</t>
  </si>
  <si>
    <t>Movistar</t>
  </si>
  <si>
    <t>FTTH</t>
  </si>
  <si>
    <t>Doble</t>
  </si>
  <si>
    <t>No</t>
  </si>
  <si>
    <t>Datos</t>
  </si>
  <si>
    <t>Armenia</t>
  </si>
  <si>
    <t>Eje Cafetero</t>
  </si>
  <si>
    <t>CAV</t>
  </si>
  <si>
    <t>Tigo</t>
  </si>
  <si>
    <t>HFC - FTTH</t>
  </si>
  <si>
    <t>Triple</t>
  </si>
  <si>
    <t>Voz</t>
  </si>
  <si>
    <t>Anserma</t>
  </si>
  <si>
    <t>Choco</t>
  </si>
  <si>
    <t>TMK</t>
  </si>
  <si>
    <t>Somos</t>
  </si>
  <si>
    <t>Sencillo + Postpago</t>
  </si>
  <si>
    <t>WOM</t>
  </si>
  <si>
    <t>Apartado</t>
  </si>
  <si>
    <t>Medellín y Área Metropolitana</t>
  </si>
  <si>
    <t>Todos los Canales</t>
  </si>
  <si>
    <t>Legon</t>
  </si>
  <si>
    <t>Doble + Postpago</t>
  </si>
  <si>
    <t>Virgin</t>
  </si>
  <si>
    <t>Barbosa</t>
  </si>
  <si>
    <t>Tu Cable</t>
  </si>
  <si>
    <t>Triple + Postpago</t>
  </si>
  <si>
    <t>Belen De Umbria</t>
  </si>
  <si>
    <t>Super Redes</t>
  </si>
  <si>
    <t>Bello</t>
  </si>
  <si>
    <t>Ospiredes</t>
  </si>
  <si>
    <t>Calarca</t>
  </si>
  <si>
    <t>|</t>
  </si>
  <si>
    <t>HV Multiplay</t>
  </si>
  <si>
    <t>Caldas</t>
  </si>
  <si>
    <t>HV</t>
  </si>
  <si>
    <t>Circasia</t>
  </si>
  <si>
    <t>Plus</t>
  </si>
  <si>
    <t>Copacabana</t>
  </si>
  <si>
    <t>Dosquebradas</t>
  </si>
  <si>
    <t>Envigado</t>
  </si>
  <si>
    <t>Girardota</t>
  </si>
  <si>
    <t>Itagui</t>
  </si>
  <si>
    <t>La Dorada</t>
  </si>
  <si>
    <t>La Estrella</t>
  </si>
  <si>
    <t>Manizales</t>
  </si>
  <si>
    <t>Marinilla</t>
  </si>
  <si>
    <t>Medellin</t>
  </si>
  <si>
    <t>Montenegro</t>
  </si>
  <si>
    <t>Pereira</t>
  </si>
  <si>
    <t>Quimbaya</t>
  </si>
  <si>
    <t>Rionegro</t>
  </si>
  <si>
    <t>Sabaneta</t>
  </si>
  <si>
    <t>San Antonio De Prado</t>
  </si>
  <si>
    <t>Santa Rosa De Cabal</t>
  </si>
  <si>
    <t>Tebaida</t>
  </si>
  <si>
    <t>Villamaria</t>
  </si>
  <si>
    <t>Virginia</t>
  </si>
  <si>
    <t>Viterbo</t>
  </si>
  <si>
    <t xml:space="preserve">Caucasia </t>
  </si>
  <si>
    <t xml:space="preserve">Antioquia </t>
  </si>
  <si>
    <t>R2 - BENCHMARKING HOGAR - RESPONSABLE CANAL CALLE</t>
  </si>
  <si>
    <t>Fecha de Actualización</t>
  </si>
  <si>
    <t>Nombre de quien realiza la actualización</t>
  </si>
  <si>
    <t>Ciudad</t>
  </si>
  <si>
    <t>Región</t>
  </si>
  <si>
    <t>Precio</t>
  </si>
  <si>
    <t>Vigencia de la campaña o tarifa especial - especificar fecha de finalizacion o si aplica todo el mes</t>
  </si>
  <si>
    <t>Velocidad del @</t>
  </si>
  <si>
    <t>Tipo de TV</t>
  </si>
  <si>
    <t>Cantidad de canales</t>
  </si>
  <si>
    <t>Cantidad de Decos incluidos</t>
  </si>
  <si>
    <t>Valor Del Deco Adicional</t>
  </si>
  <si>
    <t>Tiene Cobro de Instalacion</t>
  </si>
  <si>
    <t>$ Cobro de Instalación</t>
  </si>
  <si>
    <t>Valores Agregados</t>
  </si>
  <si>
    <t>Observación</t>
  </si>
  <si>
    <t>Uclaro</t>
  </si>
  <si>
    <t>Triple TV Superior</t>
  </si>
  <si>
    <t>Escarlata - Sonata</t>
  </si>
  <si>
    <t>Marzo</t>
  </si>
  <si>
    <t>HFC: 500 / FTTH: 900</t>
  </si>
  <si>
    <t>Superior</t>
  </si>
  <si>
    <t>1 HD - 1 Deco Digital</t>
  </si>
  <si>
    <t>Combina Entre ( Netflix, Win + Futbol, HBO Max, Amazon Prime y Disney +)</t>
  </si>
  <si>
    <t>McAfee, MultiAsistencia a elección del cliente, Claro video con Universal + Incluido, Claro Musica Versión Gratis y Claro Drive</t>
  </si>
  <si>
    <t>PTar 1008/1010F - Campaña Escarlata Exclusiva R2</t>
  </si>
  <si>
    <t>Triple Tv Digital Intermedia Plus</t>
  </si>
  <si>
    <t>Tv Digital Intermedia Plus</t>
  </si>
  <si>
    <t>Selecciona Entre ( Netflix, Win + Futbol, HBO Max, Amazon Prime y Disney +)</t>
  </si>
  <si>
    <t>CODA</t>
  </si>
  <si>
    <t>1 HD</t>
  </si>
  <si>
    <t>Claro video con Universal + Incluido, Claro Musica Versión Gratis y Claro Drive</t>
  </si>
  <si>
    <t>PTar 1008/1010F - La oferta Escarlata y Sonata aplica también solo para el escenario de $104.900 con Prime.</t>
  </si>
  <si>
    <t>PTar 1008/1010F - Campaña Escarlata Exclusiva R2 e Incluye Ultra Wifi</t>
  </si>
  <si>
    <t>Doble Internet + Voz</t>
  </si>
  <si>
    <t>McAfee</t>
  </si>
  <si>
    <t>PTar 1008/1010F - Si lo Adquiere con Ultra Wifi costo de $90.800</t>
  </si>
  <si>
    <t>Super Bundle</t>
  </si>
  <si>
    <t>Win Play, HBO Max y Amazon Prime</t>
  </si>
  <si>
    <t>PTar 1008/1010F - Si adiciona Netflix su valor es $13.900 Adicionales.</t>
  </si>
  <si>
    <t>Sencillo con 2 OTT</t>
  </si>
  <si>
    <t>PTar 1008/1010F</t>
  </si>
  <si>
    <t>Sencillo con 1 OTT</t>
  </si>
  <si>
    <t>Sencillo Sin OTT</t>
  </si>
  <si>
    <t>SI</t>
  </si>
  <si>
    <t>PTar 1008/1010F - Si lo Adquiere con Ultra Wifi costo de $85.800</t>
  </si>
  <si>
    <t>Oferta Sencilla</t>
  </si>
  <si>
    <t>200/250TC</t>
  </si>
  <si>
    <t>PTar 5143/5143F - Si lo Adquiere con Ultra Wifi costo de $70.800</t>
  </si>
  <si>
    <t>Ptar 5143/5143F</t>
  </si>
  <si>
    <t>Jose Serna</t>
  </si>
  <si>
    <t>Pospago Ilimitado</t>
  </si>
  <si>
    <t>Sin Cargo de Instalacion + Compre hoy y pague el  proximo mes</t>
  </si>
  <si>
    <t>4 Marzo Hasta 10 Marzo</t>
  </si>
  <si>
    <t>900 MG</t>
  </si>
  <si>
    <t>N/A</t>
  </si>
  <si>
    <t>Plan Pospago Ilimitado</t>
  </si>
  <si>
    <t>Oferta Relampago, por 12 Meses pagara 89.990 despues de los 12 meses pagara 106.990</t>
  </si>
  <si>
    <t>TV + 2 Decos</t>
  </si>
  <si>
    <t>box y trae 92 canales y 1 app con 74 canales, solo cuando viene con decodificador el plan</t>
  </si>
  <si>
    <t>Oferta Relampago, por 12 Meses pagara 119.990 despues de los 12 meses pagara 139.990</t>
  </si>
  <si>
    <t>Sara Hernández</t>
  </si>
  <si>
    <t>Sin cargo de conexion, compra ahora y paga  el proximo mes</t>
  </si>
  <si>
    <t>Mes de Marzo</t>
  </si>
  <si>
    <t>500  MG</t>
  </si>
  <si>
    <t>TV Avanzada + 2 Decos HD</t>
  </si>
  <si>
    <t>124 Canales</t>
  </si>
  <si>
    <t>HBO y WIN por 12 Meses</t>
  </si>
  <si>
    <t>500 MG</t>
  </si>
  <si>
    <t>HBO por 12 Meses</t>
  </si>
  <si>
    <t>Karen Cuesta</t>
  </si>
  <si>
    <t>Marian Londoño</t>
  </si>
  <si>
    <t>TV + Internet</t>
  </si>
  <si>
    <t>Tv Digital HD + Internet Simetrico</t>
  </si>
  <si>
    <t>200 MG</t>
  </si>
  <si>
    <t>TV Digita HD</t>
  </si>
  <si>
    <t>700 MG</t>
  </si>
  <si>
    <t>TV Digital</t>
  </si>
  <si>
    <t>DUO PACK 15</t>
  </si>
  <si>
    <t>15 MG</t>
  </si>
  <si>
    <t>DUO PACK 16</t>
  </si>
  <si>
    <t>DUO PACK 17</t>
  </si>
  <si>
    <t>TV Sencillo</t>
  </si>
  <si>
    <t>100 MG</t>
  </si>
  <si>
    <t>Sara Hernandez</t>
  </si>
  <si>
    <t xml:space="preserve">Cesar augusto gomez </t>
  </si>
  <si>
    <t xml:space="preserve">internet  y tv digital </t>
  </si>
  <si>
    <t>marzo</t>
  </si>
  <si>
    <t>digital</t>
  </si>
  <si>
    <t>hasta 4 puntos</t>
  </si>
  <si>
    <t>si</t>
  </si>
  <si>
    <t>hasta 4 puntos de tv</t>
  </si>
  <si>
    <t>calle</t>
  </si>
  <si>
    <t>internet  y tv digital , 2 apps playkids y anti virus</t>
  </si>
  <si>
    <t>App exitlang,cindie,atresplayer</t>
  </si>
  <si>
    <t>antivirus kaspersky</t>
  </si>
  <si>
    <t xml:space="preserve">Da hasta 5 puntos en la instalcion </t>
  </si>
  <si>
    <t>Isabel Diaz</t>
  </si>
  <si>
    <t>12 meses por 89.900, Sin cargo de instalacion, compra hoy y paga el poximo mes, fibra de 900 mg</t>
  </si>
  <si>
    <t xml:space="preserve"> 10 Marzo Hasta 17 Marzo</t>
  </si>
  <si>
    <t>12 meses por 109.900, Sin cargo de instalacion, compra hoy y paga el poximo mes, fibra de 900 mg</t>
  </si>
  <si>
    <t>TV + 2 Decos HD</t>
  </si>
  <si>
    <t>Los decos 2  91 canales. Movistar total 5 pantallas 71 canales</t>
  </si>
  <si>
    <t>Monica Gutierrez</t>
  </si>
  <si>
    <t>Doble TV+Internet</t>
  </si>
  <si>
    <t>TV Avanzada</t>
  </si>
  <si>
    <t>Carlos Franco</t>
  </si>
  <si>
    <t>$86.436</t>
  </si>
  <si>
    <t>Paga primera factura a $66.489</t>
  </si>
  <si>
    <t>Avanzada</t>
  </si>
  <si>
    <t>126 canales</t>
  </si>
  <si>
    <t>Sencillo Internet</t>
  </si>
  <si>
    <t>$49.900</t>
  </si>
  <si>
    <t>Sin cargo de conexion, sin clausula de permanencia y compra ahpra y paga el proximo mes</t>
  </si>
  <si>
    <t>50 MG</t>
  </si>
  <si>
    <t>Operador Bitwan (INSITEL )</t>
  </si>
  <si>
    <t>$74.800</t>
  </si>
  <si>
    <t>Basica</t>
  </si>
  <si>
    <t>TV por Streaming, 2 pantallas con 110 canales</t>
  </si>
  <si>
    <t>$ 106.990</t>
  </si>
  <si>
    <t>Sin Cargo de Conexión, Compra hoy y paga el proximo mes, 50% de descuento mes 2 ($53.495)</t>
  </si>
  <si>
    <t>$ 124.990</t>
  </si>
  <si>
    <t>Sin Cargo de Conexión, Compra hoy y paga el proximo mes, 50% de descuento mes 2 ($62.495)</t>
  </si>
  <si>
    <t>Escoger entre Win, Disney O NetFlix</t>
  </si>
  <si>
    <t>$ 139.990</t>
  </si>
  <si>
    <t>Sin Cargo de Conexión, Compra hoy y paga el proximo mes, 50% de descuento mes 2 ($69.995)</t>
  </si>
  <si>
    <t>$ 157.990</t>
  </si>
  <si>
    <t>Sin Cargo de Conexión, Compra hoy y paga el proximo mes, 50% de descuento mes 2 ($78.995)</t>
  </si>
  <si>
    <t> </t>
  </si>
  <si>
    <t>$ 69,900</t>
  </si>
  <si>
    <t>Sin Cargo de Conexión, y sin clausula de permanencia</t>
  </si>
  <si>
    <t>MARZO</t>
  </si>
  <si>
    <t>$ 55,000</t>
  </si>
  <si>
    <t>80 MG</t>
  </si>
  <si>
    <t>$ 54,900</t>
  </si>
  <si>
    <t>70 MG</t>
  </si>
  <si>
    <t>Puede agregar bitwan tv plus 2 pantallas 110 canales</t>
  </si>
  <si>
    <t>Marden Martinez Mora</t>
  </si>
  <si>
    <t>Marden Martinez</t>
  </si>
  <si>
    <t>Lina Acosta</t>
  </si>
  <si>
    <t xml:space="preserve">clientes nuevos </t>
  </si>
  <si>
    <t>20% de descuento x 6 meses</t>
  </si>
  <si>
    <t>deco one - plus</t>
  </si>
  <si>
    <t>Essential</t>
  </si>
  <si>
    <t>Sin Permanencia</t>
  </si>
  <si>
    <t>Primer Mes Gratis</t>
  </si>
  <si>
    <t>800 MG</t>
  </si>
  <si>
    <t>2 Puntos Cableados, 2 Router</t>
  </si>
  <si>
    <t>Pro</t>
  </si>
  <si>
    <t>2.0 GBPS</t>
  </si>
  <si>
    <t>2 Tv Box</t>
  </si>
  <si>
    <t>Puntos Cableados Ilimitados, 1 Router, 1  IPS Publica</t>
  </si>
  <si>
    <t>dia de la mujer</t>
  </si>
  <si>
    <t>1 factura con el 50%  de decuento 1 factura instalaion27500</t>
  </si>
  <si>
    <t>50% factura</t>
  </si>
  <si>
    <t>Tv Somos</t>
  </si>
  <si>
    <t>Sin Permanencia Cable Mio</t>
  </si>
  <si>
    <t>App Propia en Tv Box</t>
  </si>
  <si>
    <t>Tv + Internet</t>
  </si>
  <si>
    <t>3O Mbps</t>
  </si>
  <si>
    <t>60 Mbps</t>
  </si>
  <si>
    <t>100 Mbps</t>
  </si>
  <si>
    <t>Internet</t>
  </si>
  <si>
    <t>15 Mbps</t>
  </si>
  <si>
    <t>50 Mbps</t>
  </si>
  <si>
    <t>DGO + Internet</t>
  </si>
  <si>
    <t>1000 MG</t>
  </si>
  <si>
    <t>DGO Flex + Internet</t>
  </si>
  <si>
    <t>Velocidad garantizada por cable Aplica Estrato 1,2,3 Velonet</t>
  </si>
  <si>
    <t>Movilidad Pro 48 GB + Internet</t>
  </si>
  <si>
    <t>Camara Monitoreo 24 H</t>
  </si>
  <si>
    <t>100mgps</t>
  </si>
  <si>
    <t>200Mbps</t>
  </si>
  <si>
    <t>Velocidad garantizada por cable Aplica Estrato 4,5,6 Velonet</t>
  </si>
  <si>
    <t>Paulina Parra</t>
  </si>
  <si>
    <t xml:space="preserve">Trio full tigo </t>
  </si>
  <si>
    <t>500MG</t>
  </si>
  <si>
    <t xml:space="preserve">Tv avanzada </t>
  </si>
  <si>
    <t>HBO MAX Y WIN</t>
  </si>
  <si>
    <t>Duo full tigo</t>
  </si>
  <si>
    <t>MAX</t>
  </si>
  <si>
    <t>Karen Garcia</t>
  </si>
  <si>
    <t>ESSENTIAL</t>
  </si>
  <si>
    <t>NA</t>
  </si>
  <si>
    <t>ESTRATO 1, 2 Y 3</t>
  </si>
  <si>
    <t>PRO</t>
  </si>
  <si>
    <t>ESTRATO 4, 5 Y 6</t>
  </si>
  <si>
    <t>DUO PLUS</t>
  </si>
  <si>
    <t>TV DIGITAL</t>
  </si>
  <si>
    <t>SENCILLO</t>
  </si>
  <si>
    <t xml:space="preserve">Diney Acosta </t>
  </si>
  <si>
    <t>100MG</t>
  </si>
  <si>
    <t>DUO</t>
  </si>
  <si>
    <t>150MG</t>
  </si>
  <si>
    <t>ESTRATO 1, 2 Y 4</t>
  </si>
  <si>
    <t>100GM</t>
  </si>
  <si>
    <t>TVDIGITAL</t>
  </si>
  <si>
    <t>ESTRATO 1, 2 Y 5</t>
  </si>
  <si>
    <t>250MG</t>
  </si>
  <si>
    <t>ESTRATO 1, 2 Y 6</t>
  </si>
  <si>
    <t>R2 - BENCHMARKING - MOVÍL - RESPONSABLE CANAL PDV</t>
  </si>
  <si>
    <t>Nombre  o detalle del Paquete</t>
  </si>
  <si>
    <t>Meses de Descuento</t>
  </si>
  <si>
    <t>Cantidad de GB</t>
  </si>
  <si>
    <t>Cantidad de GB adicionales Promocionales</t>
  </si>
  <si>
    <t>Cantidad De Minutos</t>
  </si>
  <si>
    <t>Cantidad SMS</t>
  </si>
  <si>
    <t>Minutos LDI Paises</t>
  </si>
  <si>
    <t>Apps que se pueden seguir usando terminada la capacidad de navegación del plan</t>
  </si>
  <si>
    <t>Observaciones</t>
  </si>
  <si>
    <t>Jorge Galindo</t>
  </si>
  <si>
    <t>Primera factura $ 33500 solo aplica para oficinas principales de tigo migraciones o cualquier portabilidad</t>
  </si>
  <si>
    <t>ilimitado</t>
  </si>
  <si>
    <t>USA-PUERTO RICO-CADANA</t>
  </si>
  <si>
    <t>Whats App-facebook Ilimitados</t>
  </si>
  <si>
    <t>no</t>
  </si>
  <si>
    <t>20 % de descuento  portabilidad</t>
  </si>
  <si>
    <t>30 G para compartir</t>
  </si>
  <si>
    <t>1 Mes gratis y 50% descuento  solo portabilidad</t>
  </si>
  <si>
    <t>300 minutos Canada -Puerto Rico y Venezuela</t>
  </si>
  <si>
    <t>Whats App-facebook- intagram</t>
  </si>
  <si>
    <t>15 G para compartir</t>
  </si>
  <si>
    <t>1 Mes gratis y 50% descuento  solo para linea nueva o migracion</t>
  </si>
  <si>
    <t>1 Mes gratis y 50% descuento para todos los paquetes</t>
  </si>
  <si>
    <t>ilimidatos</t>
  </si>
  <si>
    <t>30 % de descuento</t>
  </si>
  <si>
    <t>Whats App-facebook</t>
  </si>
  <si>
    <t>U Claro</t>
  </si>
  <si>
    <t>Conectados 26.1 V 53.9</t>
  </si>
  <si>
    <t>Solo portabilidad 20%</t>
  </si>
  <si>
    <t>2 y 3</t>
  </si>
  <si>
    <t>Ilimitados</t>
  </si>
  <si>
    <t>Facebook, WhatsApp y X</t>
  </si>
  <si>
    <t>Cine o Look Out - Claro Drive, Universal+ en Claro Video y Claro Musica</t>
  </si>
  <si>
    <t>wom</t>
  </si>
  <si>
    <t>Solo portabilidad 40% y primer mes gratis</t>
  </si>
  <si>
    <t>20 G para compartir</t>
  </si>
  <si>
    <t>40 G para compartir</t>
  </si>
  <si>
    <t>Conectados 26.1 V 56.9</t>
  </si>
  <si>
    <t>EEUU, Canada, México y Pto Rico</t>
  </si>
  <si>
    <t>Facebook, WhatsApp, X e Instagram</t>
  </si>
  <si>
    <t>Amazon Prime</t>
  </si>
  <si>
    <t>Conectados 26.1 V 65.9</t>
  </si>
  <si>
    <t>Lookout - 1 MultiAsistencia a elección del Usuario / Claro Drive, Universal+ en Claro Video y Claro Musica</t>
  </si>
  <si>
    <t>Conectados 26.1 V 75.9</t>
  </si>
  <si>
    <t>Conectados 26.1 V 99.9</t>
  </si>
  <si>
    <t>Libre</t>
  </si>
  <si>
    <t>Amazon Prime y Netflix</t>
  </si>
  <si>
    <t>Conectados Netflix</t>
  </si>
  <si>
    <t>Claro Drive, Universal+ en Claro Video y Claro Musica / 5 Gb Exclusivas para Netflix y Claro Video.</t>
  </si>
  <si>
    <t>Netflix Basico (1 Pantalla)</t>
  </si>
  <si>
    <t>Netflix Estandar (2 Pantalla)</t>
  </si>
  <si>
    <t>Claro Drive, Universal+ en Claro Video y Claro Musica.</t>
  </si>
  <si>
    <t>Conectados Disney</t>
  </si>
  <si>
    <t>Disney Premium (Hasta 4 Pantallas)</t>
  </si>
  <si>
    <t>Conectados Win</t>
  </si>
  <si>
    <t>Win Play</t>
  </si>
  <si>
    <t>Claro Drive, Universal+ en Claro Video y Claro Musica / 10 Gb Exclusivas para Netflix y Claro Video.</t>
  </si>
  <si>
    <t>Exclusivo Portabilidad</t>
  </si>
  <si>
    <t>Paquete Power 26.1 V 53.9</t>
  </si>
  <si>
    <t>Claro Musica (Versión Gratis)</t>
  </si>
  <si>
    <t>Prepago Primeros 3 meses</t>
  </si>
  <si>
    <t>Power 26.1 V 53.9</t>
  </si>
  <si>
    <t>Pospago Power apartir del 4to Mes</t>
  </si>
  <si>
    <t>Propago Power 26.1 V 53.9</t>
  </si>
  <si>
    <t>Apps que funcionan si tiene recarga y no desconectan datos. 
Facebook, WhatsApp y X</t>
  </si>
  <si>
    <t>No PAGO durante los primeros 3 meses</t>
  </si>
  <si>
    <t>Conectados 26.1 V 44.9</t>
  </si>
  <si>
    <t>Exclusivo Migración</t>
  </si>
  <si>
    <t>Conectados 25.1 V 3.1</t>
  </si>
  <si>
    <t>25% de Descuento</t>
  </si>
  <si>
    <t>Del 2 al 6</t>
  </si>
  <si>
    <t>Exclusivo Portabilidad Wom</t>
  </si>
  <si>
    <t>R2 - BENCHMARKING - PREPAGO - RESPONSABLE CANAL TAT</t>
  </si>
  <si>
    <t>Precio de la SIM</t>
  </si>
  <si>
    <t>Precio de la Recarga</t>
  </si>
  <si>
    <t>Días de Vigencia</t>
  </si>
  <si>
    <t xml:space="preserve">Hernan Cajigas </t>
  </si>
  <si>
    <t>50mb</t>
  </si>
  <si>
    <t>n/a</t>
  </si>
  <si>
    <t>50 Min+ Sms Ilimitado+whatsapp</t>
  </si>
  <si>
    <t>Bono de bienvenida</t>
  </si>
  <si>
    <t>2gb</t>
  </si>
  <si>
    <t>Min/Sms Ilimitados+whatsapp+facebook+X</t>
  </si>
  <si>
    <t>400mb</t>
  </si>
  <si>
    <t>1.4gb</t>
  </si>
  <si>
    <t>Gaming</t>
  </si>
  <si>
    <t>Min/Sms Ilimitados+whatsapp+facebook+X+Idiomas Babbel</t>
  </si>
  <si>
    <t>3.5gb</t>
  </si>
  <si>
    <t>7.5gb</t>
  </si>
  <si>
    <t>Solo por Claro pay</t>
  </si>
  <si>
    <t>12gb</t>
  </si>
  <si>
    <t>18gb</t>
  </si>
  <si>
    <t>80gb</t>
  </si>
  <si>
    <t>200mb</t>
  </si>
  <si>
    <t>60 Min+whatsapp</t>
  </si>
  <si>
    <t>600mb</t>
  </si>
  <si>
    <t>Min/Sms Ilimitados+whatsapp+facebook+X+waze</t>
  </si>
  <si>
    <t>10 min Ven, USA, Canadá, Pto Rico</t>
  </si>
  <si>
    <t>Min/Sms Ilimitado+whatsapp+facebook+waze</t>
  </si>
  <si>
    <t>15 min Ven, USA, Canadá, Pto Rico</t>
  </si>
  <si>
    <t>4.5gb</t>
  </si>
  <si>
    <t>20 min Ven, USA, Canadá, Pto Rico</t>
  </si>
  <si>
    <t>9gb</t>
  </si>
  <si>
    <t>70 min Ven, USA, Canadá, Pto Rico</t>
  </si>
  <si>
    <t>Min/Sms Ilimitado+whatsapp+facebook+X+waze</t>
  </si>
  <si>
    <t>17gb</t>
  </si>
  <si>
    <t>250 min Ven, USA, Canadá, Pto Rico</t>
  </si>
  <si>
    <t>5gb Youtube/ TikTok</t>
  </si>
  <si>
    <t>90 días</t>
  </si>
  <si>
    <t>10gb</t>
  </si>
  <si>
    <t>200MB</t>
  </si>
  <si>
    <t>60 MIn+60 sms+ WhatsApp+ facebook</t>
  </si>
  <si>
    <t>Min y sms ilimitados+Whatsapp+facebook</t>
  </si>
  <si>
    <t>2GB</t>
  </si>
  <si>
    <t>3.5GB</t>
  </si>
  <si>
    <t>7GB</t>
  </si>
  <si>
    <t>Paquete especial</t>
  </si>
  <si>
    <t>10GB</t>
  </si>
  <si>
    <t>9.5GB</t>
  </si>
  <si>
    <t>13GB</t>
  </si>
  <si>
    <t>18GB</t>
  </si>
  <si>
    <t>30GB</t>
  </si>
  <si>
    <t>Ilimitado</t>
  </si>
  <si>
    <t>1gb</t>
  </si>
  <si>
    <t>Min y sms ilimitados+Whatsapp+facebook+Nequi+Daviplata</t>
  </si>
  <si>
    <t>1.5gb</t>
  </si>
  <si>
    <t>2.5gb</t>
  </si>
  <si>
    <t>3gb</t>
  </si>
  <si>
    <t>10 min  USA, Canadá, Pto Rico, México</t>
  </si>
  <si>
    <t>Min y sms ilimitados+Whatsapp+Nequi+Daviplata</t>
  </si>
  <si>
    <t>2gb Youtube</t>
  </si>
  <si>
    <t>Min y sms ilimitados+Whatsapp+Nequi+Daviplata+Free Fire</t>
  </si>
  <si>
    <t>7gb</t>
  </si>
  <si>
    <t>20 min  USA, Canadá, Pto Rico, México</t>
  </si>
  <si>
    <t>3gb Youtube</t>
  </si>
  <si>
    <t>8gb</t>
  </si>
  <si>
    <t>9.5gb</t>
  </si>
  <si>
    <t>Min y sms ilimitados+Whatsapp+facebook+Nequi+Daviplata+Messenger+waze+X+Free Fire</t>
  </si>
  <si>
    <t>13gb</t>
  </si>
  <si>
    <t>14gb</t>
  </si>
  <si>
    <t>30 min  USA, Canadá, Pto Rico, México</t>
  </si>
  <si>
    <t>5gb Youtube</t>
  </si>
  <si>
    <t>500mb</t>
  </si>
  <si>
    <t>Min ilimitado+10 sms+Whatsapp+waze+X+Ditu</t>
  </si>
  <si>
    <t>5gb</t>
  </si>
  <si>
    <t>Min ilimitado+50 sms+Whatsapp+waze+X+Ditu</t>
  </si>
  <si>
    <t>Min ilimitado+15 sms+Whatsapp+waze+X+Ditu</t>
  </si>
  <si>
    <t>Min ilimitado a Virgin+150 min a otros+100 sms+Whatsapp+waze+X</t>
  </si>
  <si>
    <t>Min ilimitado+500 sms+Whatsapp+waze+X+facebook+Tinder+Ditu+Messenger+TikTok</t>
  </si>
  <si>
    <t>20gb</t>
  </si>
  <si>
    <t>Min ilimitado+500 sms+Whatsapp+waze+X+facebook+Suscripción a Tinder+Ditu+TikTok</t>
  </si>
  <si>
    <t>30gb</t>
  </si>
  <si>
    <t>40gb</t>
  </si>
  <si>
    <t>Min ilimitado+500 sms+Whatsapp+waze+X+facebook+Tinder+Ditu+Messenger+TikTok+Skeelo</t>
  </si>
  <si>
    <t>1000 Sms+Tinder</t>
  </si>
  <si>
    <t>3 Dias</t>
  </si>
  <si>
    <t>400Mg</t>
  </si>
  <si>
    <t>Minutos y Mensajes Ilimitados (Nacional)</t>
  </si>
  <si>
    <t>WhatsApp, Facebook y X</t>
  </si>
  <si>
    <t>Claro Drive y Claro Musica</t>
  </si>
  <si>
    <t>Todo Incluido Redes</t>
  </si>
  <si>
    <t>6 Dias</t>
  </si>
  <si>
    <t>1,4 Gb</t>
  </si>
  <si>
    <t>7 Dias</t>
  </si>
  <si>
    <t>2Gb</t>
  </si>
  <si>
    <t>10 Dias</t>
  </si>
  <si>
    <t>3,5 Gb</t>
  </si>
  <si>
    <t>20 Dias</t>
  </si>
  <si>
    <t>7,5 Gb</t>
  </si>
  <si>
    <t>30 Dias</t>
  </si>
  <si>
    <t>12 Gb</t>
  </si>
  <si>
    <t>18 Gb</t>
  </si>
  <si>
    <t>80 Gb</t>
  </si>
  <si>
    <t>10 Gb</t>
  </si>
  <si>
    <t>Sin Redes</t>
  </si>
  <si>
    <t>15 Dias</t>
  </si>
  <si>
    <t>20 Gb</t>
  </si>
  <si>
    <t>30 Gb</t>
  </si>
  <si>
    <t>Paquete de Bienvenida</t>
  </si>
  <si>
    <t>2 Gb</t>
  </si>
  <si>
    <t>Campaña Expecifique la campaña o promoción, Tarifa especial, Descuentos. Etc</t>
  </si>
  <si>
    <t>OTT Incluidas (Nombres de las OTT)</t>
  </si>
  <si>
    <t>CFM Con Impuesto Total Tarifa</t>
  </si>
  <si>
    <t>Campaña Oferta o Descuento</t>
  </si>
  <si>
    <t>OTTs Incluidas Nombre de la OTT</t>
  </si>
  <si>
    <t>Expecifica: Campañas Promociones o Bono de Bienvenida</t>
  </si>
  <si>
    <t>Minutos LDI Paises (En caso que aplique, de no ser asi, poner N/A)</t>
  </si>
  <si>
    <t>Valores Agregados (En caso que aplique, de no ser asi, poner N/A)</t>
  </si>
  <si>
    <t>OTTs Incluidas Nombre de la OTT (En caso que aplique, de no ser asi, poner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</si>
</sst>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164" formatCode="&quot;$&quot;\ #,##0"/>
    <numFmt numFmtId="165" formatCode="_-&quot;$&quot;\ * #,##0_-;\-&quot;$&quot;\ * #,##0_-;_-&quot;$&quot;\ * &quot;-&quot;??_-;_-@_-"/>
    <numFmt numFmtId="166" formatCode="[$$-240A]\ #,##0.00"/>
  </numFmts>
  <fonts count="15" x14ac:knownFonts="1">
    <font>
      <sz val="11"/>
      <color theme="1"/>
      <name val="Aptos Narrow"/>
      <family val="2"/>
      <scheme val="minor"/>
    </font>
    <font>
      <sz val="8"/>
      <name val="Aptos Narrow"/>
      <family val="2"/>
      <scheme val="minor"/>
    </font>
    <font>
      <b/>
      <sz val="11"/>
      <color theme="1"/>
      <name val="Aptos Narrow"/>
      <family val="2"/>
      <scheme val="minor"/>
    </font>
    <font>
      <sz val="11"/>
      <color theme="1"/>
      <name val="Aptos Narrow"/>
      <family val="2"/>
      <scheme val="minor"/>
    </font>
    <font>
      <sz val="11"/>
      <color rgb="FFFF0000"/>
      <name val="Aptos Narrow"/>
      <family val="2"/>
      <scheme val="minor"/>
    </font>
    <font>
      <b/>
      <sz val="11"/>
      <color theme="0"/>
      <name val="Aptos Narrow"/>
      <family val="2"/>
      <scheme val="minor"/>
    </font>
    <font>
      <b/>
      <i/>
      <sz val="24"/>
      <color theme="0"/>
      <name val="Aptos Narrow"/>
      <family val="2"/>
      <scheme val="minor"/>
    </font>
    <font>
      <b/>
      <sz val="24"/>
      <color theme="0"/>
      <name val="Aptos Narrow"/>
      <family val="2"/>
      <scheme val="minor"/>
    </font>
    <font>
      <sz val="11"/>
      <color theme="0"/>
      <name val="Aptos Narrow"/>
      <family val="2"/>
      <scheme val="minor"/>
    </font>
    <font>
      <b/>
      <sz val="11"/>
      <color rgb="FF000000"/>
      <name val="Segoe UI"/>
      <family val="2"/>
    </font>
    <font>
      <sz val="11"/>
      <color rgb="FF000000"/>
      <name val="Segoe UI"/>
      <family val="2"/>
    </font>
    <font>
      <sz val="11"/>
      <color rgb="FF000000"/>
      <name val="Aptos Narrow"/>
      <scheme val="minor"/>
    </font>
    <font>
      <sz val="11"/>
      <color theme="1"/>
      <name val="Aptos Narrow"/>
      <scheme val="minor"/>
    </font>
    <font>
      <b/>
      <sz val="11"/>
      <color theme="1"/>
      <name val="Aptos Narrow"/>
      <scheme val="minor"/>
    </font>
    <font>
      <b/>
      <sz val="11"/>
      <color rgb="FF000000"/>
      <name val="Aptos Narrow"/>
      <scheme val="minor"/>
    </font>
  </fonts>
  <fills count="9">
    <fill>
      <patternFill patternType="none"/>
    </fill>
    <fill>
      <patternFill patternType="gray125"/>
    </fill>
    <fill>
      <patternFill patternType="solid">
        <fgColor theme="0" tint="-4.9989318521683403E-2"/>
        <bgColor indexed="64"/>
      </patternFill>
    </fill>
    <fill>
      <patternFill patternType="solid">
        <fgColor rgb="FFFF0000"/>
        <bgColor indexed="64"/>
      </patternFill>
    </fill>
    <fill>
      <patternFill patternType="solid">
        <fgColor theme="0"/>
        <bgColor indexed="64"/>
      </patternFill>
    </fill>
    <fill>
      <patternFill patternType="solid">
        <fgColor theme="4"/>
        <bgColor theme="4"/>
      </patternFill>
    </fill>
    <fill>
      <patternFill patternType="solid">
        <fgColor rgb="FFFF0000"/>
        <bgColor theme="4"/>
      </patternFill>
    </fill>
    <fill>
      <patternFill patternType="solid">
        <fgColor rgb="FFF5F5F5"/>
        <bgColor rgb="FF000000"/>
      </patternFill>
    </fill>
    <fill>
      <patternFill patternType="solid">
        <fgColor rgb="FFF2F2F2"/>
        <bgColor rgb="FF000000"/>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rgb="FF000000"/>
      </top>
      <bottom style="thin">
        <color indexed="64"/>
      </bottom>
      <diagonal/>
    </border>
    <border>
      <left style="medium">
        <color rgb="FFE6E6E6"/>
      </left>
      <right style="medium">
        <color rgb="FFE6E6E6"/>
      </right>
      <top style="medium">
        <color rgb="FFE6E6E6"/>
      </top>
      <bottom style="medium">
        <color rgb="FFE6E6E6"/>
      </bottom>
      <diagonal/>
    </border>
    <border>
      <left/>
      <right style="medium">
        <color rgb="FFE6E6E6"/>
      </right>
      <top style="medium">
        <color rgb="FFE6E6E6"/>
      </top>
      <bottom style="medium">
        <color rgb="FFE6E6E6"/>
      </bottom>
      <diagonal/>
    </border>
    <border>
      <left style="medium">
        <color rgb="FFE6E6E6"/>
      </left>
      <right style="medium">
        <color rgb="FFE6E6E6"/>
      </right>
      <top/>
      <bottom style="medium">
        <color rgb="FFE6E6E6"/>
      </bottom>
      <diagonal/>
    </border>
    <border>
      <left/>
      <right style="medium">
        <color rgb="FFE6E6E6"/>
      </right>
      <top/>
      <bottom style="medium">
        <color rgb="FFE6E6E6"/>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rgb="FF000000"/>
      </left>
      <right style="thin">
        <color rgb="FF000000"/>
      </right>
      <top/>
      <bottom style="thin">
        <color rgb="FF000000"/>
      </bottom>
      <diagonal/>
    </border>
  </borders>
  <cellStyleXfs count="2">
    <xf numFmtId="0" fontId="0" fillId="0" borderId="0"/>
    <xf numFmtId="44" fontId="3" fillId="0" borderId="0" applyFont="0" applyFill="0" applyBorder="0" applyAlignment="0" applyProtection="0"/>
  </cellStyleXfs>
  <cellXfs count="82">
    <xf numFmtId="0" fontId="0" fillId="0" borderId="0" xfId="0"/>
    <xf numFmtId="0" fontId="0" fillId="0" borderId="0" xfId="0" applyAlignment="1">
      <alignment horizontal="center"/>
    </xf>
    <xf numFmtId="0" fontId="0" fillId="0" borderId="1" xfId="0" applyBorder="1" applyAlignment="1">
      <alignment horizontal="center" vertical="center" wrapText="1"/>
    </xf>
    <xf numFmtId="164" fontId="0" fillId="0" borderId="1" xfId="0" applyNumberFormat="1" applyBorder="1" applyAlignment="1">
      <alignment horizontal="center" vertical="center" wrapText="1"/>
    </xf>
    <xf numFmtId="0" fontId="0" fillId="0" borderId="0" xfId="0" applyAlignment="1">
      <alignment horizontal="center" vertical="center" wrapText="1"/>
    </xf>
    <xf numFmtId="0" fontId="5" fillId="5" borderId="1" xfId="0" applyFont="1" applyFill="1" applyBorder="1" applyAlignment="1">
      <alignment horizontal="center" vertical="center" wrapText="1"/>
    </xf>
    <xf numFmtId="0" fontId="5" fillId="5" borderId="6" xfId="0" applyFont="1" applyFill="1" applyBorder="1" applyAlignment="1">
      <alignment horizontal="center" vertical="center" wrapText="1"/>
    </xf>
    <xf numFmtId="165" fontId="5" fillId="5" borderId="1" xfId="1" applyNumberFormat="1"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3" borderId="3" xfId="0" applyFont="1" applyFill="1" applyBorder="1" applyAlignment="1">
      <alignment horizontal="center" vertical="center" wrapText="1"/>
    </xf>
    <xf numFmtId="14" fontId="0" fillId="0" borderId="1" xfId="0" applyNumberFormat="1" applyBorder="1" applyAlignment="1">
      <alignment horizontal="center" vertical="center" wrapText="1"/>
    </xf>
    <xf numFmtId="0" fontId="5" fillId="3" borderId="1" xfId="0" applyFont="1" applyFill="1" applyBorder="1" applyAlignment="1">
      <alignment horizontal="center" vertical="center" wrapText="1"/>
    </xf>
    <xf numFmtId="164" fontId="5" fillId="3" borderId="7" xfId="0" applyNumberFormat="1" applyFont="1" applyFill="1" applyBorder="1" applyAlignment="1">
      <alignment horizontal="center" vertical="center" wrapText="1"/>
    </xf>
    <xf numFmtId="164" fontId="5" fillId="3" borderId="1" xfId="0" applyNumberFormat="1" applyFont="1" applyFill="1"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9" fillId="7" borderId="8" xfId="0" applyFont="1" applyFill="1" applyBorder="1" applyAlignment="1">
      <alignment wrapText="1"/>
    </xf>
    <xf numFmtId="0" fontId="9" fillId="7" borderId="9" xfId="0" applyFont="1" applyFill="1" applyBorder="1" applyAlignment="1">
      <alignment wrapText="1"/>
    </xf>
    <xf numFmtId="0" fontId="10" fillId="0" borderId="10" xfId="0" applyFont="1" applyBorder="1" applyAlignment="1">
      <alignment wrapText="1"/>
    </xf>
    <xf numFmtId="0" fontId="10" fillId="0" borderId="11" xfId="0" applyFont="1" applyBorder="1" applyAlignment="1">
      <alignment wrapText="1"/>
    </xf>
    <xf numFmtId="164" fontId="0" fillId="0" borderId="2" xfId="0" applyNumberFormat="1" applyBorder="1" applyAlignment="1">
      <alignment horizontal="center" vertical="center" wrapText="1"/>
    </xf>
    <xf numFmtId="0" fontId="5" fillId="6" borderId="12" xfId="0" applyFont="1" applyFill="1" applyBorder="1" applyAlignment="1">
      <alignment horizontal="center" vertical="center" wrapText="1"/>
    </xf>
    <xf numFmtId="0" fontId="5" fillId="6" borderId="13" xfId="0" applyFont="1" applyFill="1" applyBorder="1" applyAlignment="1">
      <alignment horizontal="center" vertical="center" wrapText="1"/>
    </xf>
    <xf numFmtId="14" fontId="4" fillId="0" borderId="2" xfId="0" applyNumberFormat="1" applyFont="1" applyBorder="1" applyAlignment="1">
      <alignment horizontal="center" vertical="center" wrapText="1"/>
    </xf>
    <xf numFmtId="0" fontId="7" fillId="3" borderId="0" xfId="0" applyFont="1" applyFill="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164" fontId="4" fillId="0" borderId="2" xfId="0" applyNumberFormat="1" applyFont="1" applyBorder="1" applyAlignment="1">
      <alignment horizontal="center" vertical="center" wrapText="1"/>
    </xf>
    <xf numFmtId="164" fontId="0" fillId="0" borderId="0" xfId="0" applyNumberFormat="1" applyAlignment="1">
      <alignment horizontal="center" vertical="center" wrapText="1"/>
    </xf>
    <xf numFmtId="165" fontId="0" fillId="0" borderId="0" xfId="1" applyNumberFormat="1" applyFont="1" applyBorder="1" applyAlignment="1">
      <alignment horizontal="center" vertical="center" wrapText="1"/>
    </xf>
    <xf numFmtId="0" fontId="0" fillId="0" borderId="12" xfId="0" applyBorder="1" applyAlignment="1">
      <alignment horizontal="center" vertical="center" wrapText="1"/>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wrapText="1"/>
    </xf>
    <xf numFmtId="0" fontId="0" fillId="0" borderId="13" xfId="0" applyBorder="1" applyAlignment="1">
      <alignment horizontal="center" vertical="center" wrapText="1"/>
    </xf>
    <xf numFmtId="0" fontId="8" fillId="0" borderId="0" xfId="0" applyFont="1" applyAlignment="1">
      <alignment horizontal="center" vertical="center"/>
    </xf>
    <xf numFmtId="166" fontId="0" fillId="0" borderId="1" xfId="0" applyNumberFormat="1" applyBorder="1" applyAlignment="1">
      <alignment horizontal="center" vertical="center" wrapText="1"/>
    </xf>
    <xf numFmtId="166" fontId="0" fillId="0" borderId="2" xfId="0" applyNumberFormat="1" applyBorder="1" applyAlignment="1">
      <alignment horizontal="center" vertical="center" wrapText="1"/>
    </xf>
    <xf numFmtId="166" fontId="0" fillId="0" borderId="0" xfId="0" applyNumberFormat="1" applyAlignment="1">
      <alignment horizontal="center" vertical="center"/>
    </xf>
    <xf numFmtId="0" fontId="5" fillId="3" borderId="4" xfId="0" applyFont="1" applyFill="1" applyBorder="1" applyAlignment="1">
      <alignment horizontal="center" vertical="center" wrapText="1"/>
    </xf>
    <xf numFmtId="164" fontId="5" fillId="3" borderId="3" xfId="0" applyNumberFormat="1"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12" xfId="0" applyFont="1" applyFill="1" applyBorder="1" applyAlignment="1">
      <alignment horizontal="center" vertical="center" wrapText="1"/>
    </xf>
    <xf numFmtId="14" fontId="11" fillId="2" borderId="12" xfId="0" applyNumberFormat="1" applyFont="1" applyFill="1" applyBorder="1" applyAlignment="1">
      <alignment horizontal="center" vertical="center" wrapText="1"/>
    </xf>
    <xf numFmtId="0" fontId="11" fillId="2" borderId="12" xfId="0" applyFont="1" applyFill="1" applyBorder="1" applyAlignment="1">
      <alignment horizontal="center" vertical="center" wrapText="1"/>
    </xf>
    <xf numFmtId="0" fontId="12" fillId="0" borderId="0" xfId="0" applyFont="1" applyAlignment="1">
      <alignment horizontal="center" vertical="center" wrapText="1"/>
    </xf>
    <xf numFmtId="0" fontId="12" fillId="4" borderId="0" xfId="0" applyFont="1" applyFill="1" applyAlignment="1">
      <alignment horizontal="center" vertical="center" wrapText="1"/>
    </xf>
    <xf numFmtId="0" fontId="11" fillId="0" borderId="12" xfId="0" applyFont="1" applyBorder="1" applyAlignment="1">
      <alignment horizontal="center" vertical="center" wrapText="1"/>
    </xf>
    <xf numFmtId="14" fontId="12" fillId="0" borderId="12" xfId="0" applyNumberFormat="1" applyFont="1" applyBorder="1" applyAlignment="1">
      <alignment horizontal="center" vertical="center" wrapText="1"/>
    </xf>
    <xf numFmtId="0" fontId="12" fillId="0" borderId="12" xfId="0" applyFont="1" applyBorder="1" applyAlignment="1">
      <alignment horizontal="center" vertical="center" wrapText="1"/>
    </xf>
    <xf numFmtId="0" fontId="11" fillId="4" borderId="12" xfId="0" applyFont="1" applyFill="1" applyBorder="1" applyAlignment="1">
      <alignment horizontal="center" vertical="center" wrapText="1"/>
    </xf>
    <xf numFmtId="0" fontId="12" fillId="4" borderId="12" xfId="0" applyFont="1" applyFill="1" applyBorder="1" applyAlignment="1">
      <alignment horizontal="center" vertical="center" wrapText="1"/>
    </xf>
    <xf numFmtId="164" fontId="12" fillId="4" borderId="12" xfId="1" applyNumberFormat="1" applyFont="1" applyFill="1" applyBorder="1" applyAlignment="1">
      <alignment horizontal="center" vertical="center" wrapText="1"/>
    </xf>
    <xf numFmtId="165" fontId="12" fillId="4" borderId="12" xfId="1" applyNumberFormat="1" applyFont="1" applyFill="1" applyBorder="1" applyAlignment="1">
      <alignment horizontal="center" vertical="center" wrapText="1"/>
    </xf>
    <xf numFmtId="0" fontId="2" fillId="3" borderId="12" xfId="0" applyFont="1" applyFill="1" applyBorder="1" applyAlignment="1">
      <alignment horizontal="center" vertical="center" wrapText="1"/>
    </xf>
    <xf numFmtId="165" fontId="2" fillId="3" borderId="12" xfId="1" applyNumberFormat="1" applyFont="1" applyFill="1" applyBorder="1" applyAlignment="1">
      <alignment horizontal="center" vertical="center" wrapText="1"/>
    </xf>
    <xf numFmtId="0" fontId="12" fillId="2" borderId="12" xfId="0" applyFont="1" applyFill="1" applyBorder="1" applyAlignment="1">
      <alignment horizontal="center" vertical="center" wrapText="1"/>
    </xf>
    <xf numFmtId="164" fontId="12" fillId="2" borderId="12" xfId="1" applyNumberFormat="1" applyFont="1" applyFill="1" applyBorder="1" applyAlignment="1">
      <alignment horizontal="center" vertical="center" wrapText="1"/>
    </xf>
    <xf numFmtId="165" fontId="12" fillId="2" borderId="12" xfId="1" applyNumberFormat="1" applyFont="1" applyFill="1" applyBorder="1" applyAlignment="1">
      <alignment horizontal="center" vertical="center" wrapText="1"/>
    </xf>
    <xf numFmtId="1" fontId="12" fillId="2" borderId="12" xfId="1" applyNumberFormat="1" applyFont="1" applyFill="1" applyBorder="1" applyAlignment="1">
      <alignment horizontal="center" vertical="center" wrapText="1"/>
    </xf>
    <xf numFmtId="3" fontId="12" fillId="2" borderId="12" xfId="0" applyNumberFormat="1" applyFont="1" applyFill="1" applyBorder="1" applyAlignment="1">
      <alignment horizontal="center" vertical="center" wrapText="1"/>
    </xf>
    <xf numFmtId="0" fontId="12" fillId="2" borderId="12" xfId="1" applyNumberFormat="1" applyFont="1" applyFill="1" applyBorder="1" applyAlignment="1">
      <alignment horizontal="center" vertical="center" wrapText="1"/>
    </xf>
    <xf numFmtId="14" fontId="14" fillId="2" borderId="15" xfId="0" applyNumberFormat="1" applyFont="1" applyFill="1" applyBorder="1" applyAlignment="1">
      <alignment horizontal="center" vertical="center" wrapText="1"/>
    </xf>
    <xf numFmtId="0" fontId="14" fillId="0" borderId="15" xfId="0" applyFont="1" applyBorder="1" applyAlignment="1">
      <alignment horizontal="center" vertical="center" wrapText="1"/>
    </xf>
    <xf numFmtId="0" fontId="14" fillId="2" borderId="15" xfId="0" applyFont="1" applyFill="1" applyBorder="1" applyAlignment="1">
      <alignment horizontal="center" vertical="center" wrapText="1"/>
    </xf>
    <xf numFmtId="0" fontId="13" fillId="2" borderId="3" xfId="0" applyFont="1" applyFill="1" applyBorder="1" applyAlignment="1">
      <alignment horizontal="center" vertical="center" wrapText="1"/>
    </xf>
    <xf numFmtId="164" fontId="13" fillId="2" borderId="3" xfId="1" applyNumberFormat="1" applyFont="1" applyFill="1" applyBorder="1" applyAlignment="1">
      <alignment horizontal="center" vertical="center" wrapText="1"/>
    </xf>
    <xf numFmtId="165" fontId="13" fillId="2" borderId="3" xfId="1" applyNumberFormat="1" applyFont="1" applyFill="1" applyBorder="1" applyAlignment="1">
      <alignment horizontal="center" vertical="center" wrapText="1"/>
    </xf>
    <xf numFmtId="0" fontId="13" fillId="0" borderId="0" xfId="0" applyFont="1" applyAlignment="1">
      <alignment horizontal="center" vertical="center" wrapText="1"/>
    </xf>
    <xf numFmtId="14" fontId="14" fillId="2" borderId="12" xfId="0" applyNumberFormat="1" applyFont="1" applyFill="1" applyBorder="1" applyAlignment="1">
      <alignment horizontal="center" vertical="center" wrapText="1"/>
    </xf>
    <xf numFmtId="0" fontId="14" fillId="0" borderId="12" xfId="0" applyFont="1" applyBorder="1" applyAlignment="1">
      <alignment horizontal="center" vertical="center" wrapText="1"/>
    </xf>
    <xf numFmtId="0" fontId="14" fillId="2" borderId="12" xfId="0" applyFont="1" applyFill="1" applyBorder="1" applyAlignment="1">
      <alignment horizontal="center" vertical="center" wrapText="1"/>
    </xf>
    <xf numFmtId="0" fontId="13" fillId="2" borderId="1" xfId="0" applyFont="1" applyFill="1" applyBorder="1" applyAlignment="1">
      <alignment horizontal="center" vertical="center" wrapText="1"/>
    </xf>
    <xf numFmtId="164" fontId="13" fillId="2" borderId="1" xfId="1" applyNumberFormat="1" applyFont="1" applyFill="1" applyBorder="1" applyAlignment="1">
      <alignment horizontal="center" vertical="center" wrapText="1"/>
    </xf>
    <xf numFmtId="165" fontId="13" fillId="2" borderId="1" xfId="1" applyNumberFormat="1" applyFont="1" applyFill="1" applyBorder="1" applyAlignment="1">
      <alignment horizontal="center" vertical="center" wrapText="1"/>
    </xf>
    <xf numFmtId="14" fontId="11" fillId="0" borderId="12" xfId="0" applyNumberFormat="1" applyFont="1" applyBorder="1" applyAlignment="1">
      <alignment horizontal="center" vertical="center"/>
    </xf>
    <xf numFmtId="0" fontId="11" fillId="0" borderId="12" xfId="0" applyFont="1" applyBorder="1" applyAlignment="1">
      <alignment horizontal="center" vertical="center"/>
    </xf>
    <xf numFmtId="0" fontId="11" fillId="8" borderId="12" xfId="0" applyFont="1" applyFill="1" applyBorder="1" applyAlignment="1">
      <alignment horizontal="center" vertical="center" wrapText="1"/>
    </xf>
    <xf numFmtId="0" fontId="11" fillId="4" borderId="12" xfId="0" applyFont="1" applyFill="1" applyBorder="1" applyAlignment="1">
      <alignment horizontal="center" vertical="center"/>
    </xf>
    <xf numFmtId="0" fontId="7" fillId="3" borderId="1" xfId="0" applyFont="1" applyFill="1" applyBorder="1" applyAlignment="1">
      <alignment horizontal="left" vertical="center" wrapText="1"/>
    </xf>
    <xf numFmtId="0" fontId="6" fillId="3" borderId="12" xfId="0" applyFont="1" applyFill="1" applyBorder="1" applyAlignment="1">
      <alignment horizontal="center" vertical="center" wrapText="1"/>
    </xf>
    <xf numFmtId="0" fontId="7" fillId="3" borderId="0" xfId="0" applyFont="1" applyFill="1" applyAlignment="1">
      <alignment horizontal="left" vertical="center" wrapText="1"/>
    </xf>
  </cellXfs>
  <cellStyles count="2">
    <cellStyle name="Moneda" xfId="1" builtinId="4"/>
    <cellStyle name="Normal" xfId="0" builtinId="0"/>
  </cellStyles>
  <dxfs count="64">
    <dxf>
      <fill>
        <patternFill patternType="none">
          <fgColor indexed="64"/>
          <bgColor auto="1"/>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164" formatCode="&quot;$&quot;\ #,##0"/>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FF0000"/>
        <name val="Aptos Narrow"/>
        <family val="2"/>
        <scheme val="minor"/>
      </font>
      <numFmt numFmtId="164" formatCode="&quot;$&quot;\ #,##0"/>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indexed="64"/>
          <bgColor rgb="FFFF0000"/>
        </patternFill>
      </fill>
      <alignment horizontal="center" vertical="center" textRotation="0" wrapText="1" indent="0" justifyLastLine="0" shrinkToFit="0" readingOrder="0"/>
      <border diagonalUp="0" diagonalDown="0">
        <left style="thin">
          <color indexed="64"/>
        </left>
        <right style="thin">
          <color indexed="64"/>
        </right>
        <top/>
        <bottom/>
      </border>
    </dxf>
    <dxf>
      <font>
        <b/>
        <name val="Aptos Narrow"/>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name val="Aptos Narrow"/>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name val="Aptos Narrow"/>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name val="Aptos Narrow"/>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name val="Aptos Narrow"/>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Narrow"/>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name val="Aptos Narrow"/>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Narrow"/>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Narrow"/>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name val="Aptos Narrow"/>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name val="Aptos Narrow"/>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name val="Aptos Narrow"/>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name val="Aptos Narrow"/>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name val="Aptos Narrow"/>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Narrow"/>
        <scheme val="minor"/>
      </font>
      <numFmt numFmtId="164" formatCode="&quot;$&quot;\ #,##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name val="Aptos Narrow"/>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name val="Aptos Narrow"/>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Narrow"/>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ptos Narrow"/>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0000"/>
        <name val="Aptos Narrow"/>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0000"/>
        <name val="Aptos Narrow"/>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0000"/>
        <name val="Aptos Narrow"/>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rder>
    </dxf>
    <dxf>
      <border outline="0">
        <left style="thin">
          <color indexed="64"/>
        </left>
        <right style="thin">
          <color indexed="64"/>
        </right>
        <top style="thin">
          <color indexed="64"/>
        </top>
        <bottom style="thin">
          <color indexed="64"/>
        </bottom>
      </border>
    </dxf>
    <dxf>
      <font>
        <b/>
        <name val="Aptos Narrow"/>
        <scheme val="minor"/>
      </font>
      <fill>
        <patternFill patternType="solid">
          <fgColor indexed="64"/>
          <bgColor theme="0" tint="-4.9989318521683403E-2"/>
        </patternFill>
      </fill>
      <alignment horizontal="center" vertical="center"/>
    </dxf>
    <dxf>
      <border outline="0">
        <bottom style="thin">
          <color indexed="64"/>
        </bottom>
      </border>
    </dxf>
    <dxf>
      <font>
        <b/>
        <i val="0"/>
        <strike val="0"/>
        <condense val="0"/>
        <extend val="0"/>
        <outline val="0"/>
        <shadow val="0"/>
        <u val="none"/>
        <vertAlign val="baseline"/>
        <sz val="11"/>
        <color theme="1"/>
        <name val="Aptos Narrow"/>
        <family val="2"/>
        <scheme val="minor"/>
      </font>
      <fill>
        <patternFill>
          <bgColor rgb="FFFF0000"/>
        </patternFill>
      </fill>
      <alignment horizontal="center" vertical="center" textRotation="0" wrapText="1" indent="0" justifyLastLine="0" shrinkToFit="0" readingOrder="0"/>
      <border diagonalUp="0" diagonalDown="0">
        <left style="thin">
          <color indexed="64"/>
        </left>
        <right style="thin">
          <color indexed="64"/>
        </right>
        <top/>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240A]\ #,##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6" formatCode="[$$-240A]\ #,##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164" formatCode="&quot;$&quot;\ #,##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FF0000"/>
        <name val="Aptos Narrow"/>
        <family val="2"/>
        <scheme val="minor"/>
      </font>
      <numFmt numFmtId="19" formatCode="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indexed="64"/>
          <bgColor rgb="FFFF0000"/>
        </patternFill>
      </fill>
      <alignment horizontal="center" vertical="center" textRotation="0" wrapText="1" indent="0" justifyLastLine="0" shrinkToFit="0" readingOrder="0"/>
      <border diagonalUp="0" diagonalDown="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ichStyles" Target="richData/rich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Array" Target="richData/rdarray.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5" Type="http://schemas.microsoft.com/office/2017/06/relationships/rdSupportingPropertyBag" Target="richData/rdsupportingpropertybag.xml"/><Relationship Id="rId10" Type="http://schemas.microsoft.com/office/2017/06/relationships/rdRichValue" Target="richData/rdrichvalue.xml"/><Relationship Id="rId19" Type="http://schemas.openxmlformats.org/officeDocument/2006/relationships/customXml" Target="../customXml/item2.xml"/><Relationship Id="rId4" Type="http://schemas.openxmlformats.org/officeDocument/2006/relationships/worksheet" Target="worksheets/sheet4.xml"/><Relationship Id="rId9" Type="http://schemas.microsoft.com/office/2020/07/relationships/rdRichValueWebImage" Target="richData/rdRichValueWebImage.xml"/><Relationship Id="rId14" Type="http://schemas.microsoft.com/office/2017/06/relationships/rdSupportingPropertyBagStructure" Target="richData/rdsupportingpropertybagstructure.xml"/></Relationship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San%20Antonio%20(Texas)" TargetMode="External"/><Relationship Id="rId13" Type="http://schemas.openxmlformats.org/officeDocument/2006/relationships/hyperlink" Target="https://www.bing.com/th?id=OSK.aa5967386133e6adfa7bed33bec6ac56&amp;qlt=95" TargetMode="External"/><Relationship Id="rId18" Type="http://schemas.openxmlformats.org/officeDocument/2006/relationships/hyperlink" Target="https://www.bing.com/images/search?form=xlimg&amp;q=Montenegro%20(Quind%c3%ado)" TargetMode="External"/><Relationship Id="rId26" Type="http://schemas.openxmlformats.org/officeDocument/2006/relationships/hyperlink" Target="https://www.bing.com/images/search?form=xlimg&amp;q=Caldas%20(Antioquia)" TargetMode="External"/><Relationship Id="rId3" Type="http://schemas.openxmlformats.org/officeDocument/2006/relationships/hyperlink" Target="https://www.bing.com/th?id=OSK.6759497288133929cae2aa510f4b8ec9&amp;qlt=95" TargetMode="External"/><Relationship Id="rId21" Type="http://schemas.openxmlformats.org/officeDocument/2006/relationships/hyperlink" Target="https://www.bing.com/th?id=OSK.5b7ba724b9409d1b77aeeda7b2becf4e&amp;qlt=95" TargetMode="External"/><Relationship Id="rId7" Type="http://schemas.openxmlformats.org/officeDocument/2006/relationships/hyperlink" Target="https://www.bing.com/th?id=OSK.f0fd36da29fa13db55712781d99a2112&amp;qlt=95" TargetMode="External"/><Relationship Id="rId12" Type="http://schemas.openxmlformats.org/officeDocument/2006/relationships/hyperlink" Target="https://www.bing.com/images/search?form=xlimg&amp;q=Pereira" TargetMode="External"/><Relationship Id="rId17" Type="http://schemas.openxmlformats.org/officeDocument/2006/relationships/hyperlink" Target="https://www.bing.com/th?id=OSK.7d27d50cf4763e6ec04242cad56cea8c&amp;qlt=95" TargetMode="External"/><Relationship Id="rId25" Type="http://schemas.openxmlformats.org/officeDocument/2006/relationships/hyperlink" Target="https://www.bing.com/th?id=OSK.5743b0d8002ac720dac6a81e7c6a57d3&amp;qlt=95" TargetMode="External"/><Relationship Id="rId2" Type="http://schemas.openxmlformats.org/officeDocument/2006/relationships/hyperlink" Target="https://www.bing.com/images/search?form=xlimg&amp;q=Itag%c3%bc%c3%ad" TargetMode="External"/><Relationship Id="rId16" Type="http://schemas.openxmlformats.org/officeDocument/2006/relationships/hyperlink" Target="https://www.bing.com/images/search?form=xlimg&amp;q=Calarc%c3%a1%20(Quind%c3%ado)" TargetMode="External"/><Relationship Id="rId20" Type="http://schemas.openxmlformats.org/officeDocument/2006/relationships/hyperlink" Target="https://www.bing.com/images/search?form=xlimg&amp;q=Circasia%20(Quind%c3%ado)" TargetMode="External"/><Relationship Id="rId1" Type="http://schemas.openxmlformats.org/officeDocument/2006/relationships/hyperlink" Target="https://www.bing.com/th?id=OSK.a11922da26e68ee988bc886e20aa7f48&amp;qlt=95" TargetMode="External"/><Relationship Id="rId6" Type="http://schemas.openxmlformats.org/officeDocument/2006/relationships/hyperlink" Target="https://www.bing.com/images/search?form=xlimg&amp;q=Sabaneta%20(Colombia)" TargetMode="External"/><Relationship Id="rId11" Type="http://schemas.openxmlformats.org/officeDocument/2006/relationships/hyperlink" Target="https://www.bing.com/th?id=OSK.941c03dce77adbb4060398f20e2d7cc3&amp;qlt=95" TargetMode="External"/><Relationship Id="rId24" Type="http://schemas.openxmlformats.org/officeDocument/2006/relationships/hyperlink" Target="https://www.bing.com/images/search?form=xlimg&amp;q=Quimbaya%20(Quind%c3%ado)" TargetMode="External"/><Relationship Id="rId5" Type="http://schemas.openxmlformats.org/officeDocument/2006/relationships/hyperlink" Target="https://www.bing.com/th?id=OSK.95bc40660338f3bc65f1b0a5f2f120f9&amp;qlt=95" TargetMode="External"/><Relationship Id="rId15" Type="http://schemas.openxmlformats.org/officeDocument/2006/relationships/hyperlink" Target="https://www.bing.com/th?id=OSK.9d609e913ebcd62a2bf779d563718e4b&amp;qlt=95" TargetMode="External"/><Relationship Id="rId23" Type="http://schemas.openxmlformats.org/officeDocument/2006/relationships/hyperlink" Target="https://www.bing.com/th?id=OSK.86a275de146c8cf6c0aa9f2607658a92&amp;qlt=95" TargetMode="External"/><Relationship Id="rId28" Type="http://schemas.openxmlformats.org/officeDocument/2006/relationships/hyperlink" Target="https://www.bing.com/images/search?form=xlimg&amp;q=La%20Estrella%20(Antioquia)" TargetMode="External"/><Relationship Id="rId10" Type="http://schemas.openxmlformats.org/officeDocument/2006/relationships/hyperlink" Target="https://www.bing.com/images/search?form=xlimg&amp;q=Medell%c3%adn" TargetMode="External"/><Relationship Id="rId19" Type="http://schemas.openxmlformats.org/officeDocument/2006/relationships/hyperlink" Target="https://www.bing.com/th?id=OSK.9dc071dacd5b2a11de00de2d9b851fdc&amp;qlt=95" TargetMode="External"/><Relationship Id="rId4" Type="http://schemas.openxmlformats.org/officeDocument/2006/relationships/hyperlink" Target="https://www.bing.com/images/search?form=xlimg&amp;q=Envigado" TargetMode="External"/><Relationship Id="rId9" Type="http://schemas.openxmlformats.org/officeDocument/2006/relationships/hyperlink" Target="https://www.bing.com/th?id=OSK.f5689554256c589a97a9dc69e4798f4c&amp;qlt=95" TargetMode="External"/><Relationship Id="rId14" Type="http://schemas.openxmlformats.org/officeDocument/2006/relationships/hyperlink" Target="https://www.bing.com/images/search?form=xlimg&amp;q=Armenia%20(Quind%c3%ado)" TargetMode="External"/><Relationship Id="rId22" Type="http://schemas.openxmlformats.org/officeDocument/2006/relationships/hyperlink" Target="https://www.bing.com/images/search?form=xlimg&amp;q=La%20Tebaida" TargetMode="External"/><Relationship Id="rId27" Type="http://schemas.openxmlformats.org/officeDocument/2006/relationships/hyperlink" Target="https://www.bing.com/th?id=OSK.78ca3829e475e16a60cca47fc701cd3b&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Srd>
</file>

<file path=xl/richData/rdarray.xml><?xml version="1.0" encoding="utf-8"?>
<arrayData xmlns="http://schemas.microsoft.com/office/spreadsheetml/2017/richdata2" count="13">
  <a r="1">
    <v t="r">6</v>
  </a>
  <a r="1">
    <v t="r">17</v>
  </a>
  <a r="1">
    <v t="s">UTC-05:00</v>
  </a>
  <a r="1">
    <v t="r">28</v>
  </a>
  <a r="1">
    <v t="r">40</v>
  </a>
  <a r="1">
    <v t="s">Hora estándar del centro</v>
  </a>
  <a r="1">
    <v t="r">52</v>
  </a>
  <a r="1">
    <v t="r">63</v>
  </a>
  <a r="1">
    <v t="s">Horario del este de América del Norte</v>
  </a>
  <a r="1">
    <v t="r">75</v>
  </a>
  <a r="1">
    <v t="r">85</v>
  </a>
  <a r="1">
    <v t="r">111</v>
  </a>
  <a r="1">
    <v t="r">128</v>
  </a>
</arrayData>
</file>

<file path=xl/richData/rdrichvalue.xml><?xml version="1.0" encoding="utf-8"?>
<rvData xmlns="http://schemas.microsoft.com/office/spreadsheetml/2017/richdata" count="141">
  <rv s="0">
    <v>536870912</v>
    <v>Itagüí</v>
    <v>a0741dfb-e4f1-1104-00a6-0f7afedb438a</v>
    <v>es-ES</v>
    <v>Map</v>
  </rv>
  <rv s="1">
    <fb>21.09</fb>
    <v>9</v>
  </rv>
  <rv s="0">
    <v>536870912</v>
    <v>Antioquia</v>
    <v>d3614470-a93c-5d64-a636-9da2dff33c3d</v>
    <v>es-ES</v>
    <v>Map</v>
  </rv>
  <rv s="2">
    <v>0</v>
    <v>7</v>
    <v>0</v>
    <v>7</v>
    <v>0</v>
    <v>Image of Itagüí</v>
  </rv>
  <rv s="1">
    <fb>6.1726000000000001</fb>
    <v>10</v>
  </rv>
  <rv s="3">
    <v>https://www.bing.com/search?q=Itag%c3%bc%c3%ad&amp;form=skydnc</v>
    <v>Aprenda más con Bing</v>
  </rv>
  <rv s="0">
    <v>805306368</v>
    <v>León Mario Bedoya López (Alcalde)</v>
    <v>902b018f-53fb-a38e-31e3-a75f31975be5</v>
    <v>es-ES</v>
    <v>Generic</v>
  </rv>
  <rv s="4">
    <v>0</v>
  </rv>
  <rv s="1">
    <fb>-75.6096</fb>
    <v>10</v>
  </rv>
  <rv s="0">
    <v>536870912</v>
    <v>Colombia</v>
    <v>c396e3d8-2a85-d230-f691-7850536d840e</v>
    <v>es-ES</v>
    <v>Map</v>
  </rv>
  <rv s="1">
    <fb>276744</fb>
    <v>9</v>
  </rv>
  <rv s="5">
    <v>#VALUE!</v>
    <v>es-ES</v>
    <v>a0741dfb-e4f1-1104-00a6-0f7afedb438a</v>
    <v>536870912</v>
    <v>1</v>
    <v>1</v>
    <v>2</v>
    <v>3</v>
    <v>Itagüí</v>
    <v>5</v>
    <v>6</v>
    <v>Map</v>
    <v>7</v>
    <v>8</v>
    <v>1</v>
    <v>Itagüí es un municipio colombiano ubicado en el sur del Valle de Aburrá en el departamento de Antioquia. Este forma parte de la denominada Área metropolitana del Valle de Aburrá y está conurbado con la ciudad de Medellín. Limita por el este con ...</v>
    <v>2</v>
    <v>3</v>
    <v>4</v>
    <v>5</v>
    <v>7</v>
    <v>8</v>
    <v>Itagüí</v>
    <v>9</v>
    <v>10</v>
    <v>Itagüí</v>
    <v>mdp/vdpid/5577501387832426498</v>
  </rv>
  <rv s="0">
    <v>536870912</v>
    <v>Envigado</v>
    <v>9a33e68b-f071-4759-9d54-1b7673a98c97</v>
    <v>es-ES</v>
    <v>Map</v>
  </rv>
  <rv s="1">
    <fb>78.78</fb>
    <v>9</v>
  </rv>
  <rv s="2">
    <v>1</v>
    <v>7</v>
    <v>11</v>
    <v>7</v>
    <v>0</v>
    <v>Image of Envigado</v>
  </rv>
  <rv s="1">
    <fb>6.1719444444444003</fb>
    <v>10</v>
  </rv>
  <rv s="3">
    <v>https://www.bing.com/search?q=Envigado&amp;form=skydnc</v>
    <v>Aprenda más con Bing</v>
  </rv>
  <rv s="0">
    <v>805306368</v>
    <v>Braulio Espinosa (Alcalde)</v>
    <v>dfcd7883-acba-4372-e0e3-4165a68f6ba8</v>
    <v>es-ES</v>
    <v>Generic</v>
  </rv>
  <rv s="4">
    <v>1</v>
  </rv>
  <rv s="1">
    <fb>-75.580277777777994</fb>
    <v>10</v>
  </rv>
  <rv s="1">
    <fb>228848</fb>
    <v>9</v>
  </rv>
  <rv s="4">
    <v>2</v>
  </rv>
  <rv s="6">
    <v>#VALUE!</v>
    <v>es-ES</v>
    <v>9a33e68b-f071-4759-9d54-1b7673a98c97</v>
    <v>536870912</v>
    <v>1</v>
    <v>12</v>
    <v>2</v>
    <v>13</v>
    <v>Envigado</v>
    <v>5</v>
    <v>6</v>
    <v>Map</v>
    <v>7</v>
    <v>8</v>
    <v>13</v>
    <v>Envigado es un municipio de Colombia ubicado en el sur del valle de Aburrá del departamento de Antioquia. Limita por el norte con el distrito de Medellín, por el este con los municipios de Rionegro y El Retiro, por el sur con los municipios de ...</v>
    <v>2</v>
    <v>14</v>
    <v>15</v>
    <v>16</v>
    <v>18</v>
    <v>19</v>
    <v>Envigado</v>
    <v>9</v>
    <v>20</v>
    <v>Envigado</v>
    <v>mdp/vdpid/5577507221069103107</v>
    <v>21</v>
  </rv>
  <rv s="0">
    <v>536870912</v>
    <v>Sabaneta</v>
    <v>2ceaae1d-199a-38ad-e392-8be7fa95d025</v>
    <v>es-ES</v>
    <v>Map</v>
  </rv>
  <rv s="1">
    <fb>15</fb>
    <v>9</v>
  </rv>
  <rv s="2">
    <v>2</v>
    <v>7</v>
    <v>14</v>
    <v>7</v>
    <v>0</v>
    <v>Image of Sabaneta</v>
  </rv>
  <rv s="1">
    <fb>6.1508333333333001</fb>
    <v>10</v>
  </rv>
  <rv s="3">
    <v>https://www.bing.com/search?q=Sabaneta+Colombia&amp;form=skydnc</v>
    <v>Aprenda más con Bing</v>
  </rv>
  <rv s="0">
    <v>805306368</v>
    <v>Santiago Montoya (Alcalde)</v>
    <v>ebcfaa84-65b0-eef8-781f-e863c34a9395</v>
    <v>es-ES</v>
    <v>Generic</v>
  </rv>
  <rv s="4">
    <v>3</v>
  </rv>
  <rv s="1">
    <fb>-75.614999999999995</fb>
    <v>10</v>
  </rv>
  <rv s="1">
    <fb>82375</fb>
    <v>9</v>
  </rv>
  <rv s="5">
    <v>#VALUE!</v>
    <v>es-ES</v>
    <v>2ceaae1d-199a-38ad-e392-8be7fa95d025</v>
    <v>536870912</v>
    <v>1</v>
    <v>15</v>
    <v>2</v>
    <v>3</v>
    <v>Sabaneta</v>
    <v>5</v>
    <v>6</v>
    <v>Map</v>
    <v>7</v>
    <v>8</v>
    <v>24</v>
    <v>Sabaneta es un municipio colombiano ubicado en el Valle de Aburrá en el departamento de Antioquia. Limita por el norte con el municipio de Itagüí, por el este con Envigado, por el sur con Caldas, y por el oeste La Estrella.</v>
    <v>2</v>
    <v>25</v>
    <v>26</v>
    <v>27</v>
    <v>29</v>
    <v>30</v>
    <v>Sabaneta</v>
    <v>9</v>
    <v>31</v>
    <v>Sabaneta</v>
    <v>mdp/vdpid/5577501419205820419</v>
  </rv>
  <rv s="0">
    <v>536870912</v>
    <v>San Antonio</v>
    <v>227b2515-cb4d-49b7-9e37-9f46f910612e</v>
    <v>es-ES</v>
    <v>Map</v>
  </rv>
  <rv s="1">
    <fb>1208.7773360000001</fb>
    <v>9</v>
  </rv>
  <rv s="0">
    <v>536870912</v>
    <v>Texas</v>
    <v>00a23ccd-3344-461c-8b9f-c2bb55be5815</v>
    <v>es-ES</v>
    <v>Map</v>
  </rv>
  <rv s="0">
    <v>536870912</v>
    <v>Condado de Béxar</v>
    <v>02b1f4e0-5e72-6d90-157d-2e78b76f3dd3</v>
    <v>es-ES</v>
    <v>Map</v>
  </rv>
  <rv s="2">
    <v>3</v>
    <v>7</v>
    <v>16</v>
    <v>7</v>
    <v>0</v>
    <v>Image of San Antonio</v>
  </rv>
  <rv s="1">
    <fb>29.425000000000001</fb>
    <v>10</v>
  </rv>
  <rv s="3">
    <v>https://www.bing.com/search?q=San+Antonio+Texas&amp;form=skydnc</v>
    <v>Aprenda más con Bing</v>
  </rv>
  <rv s="0">
    <v>805306368</v>
    <v>Ron Nirenberg (Alcalde)</v>
    <v>52c0337f-1265-eed4-b39c-1061826f5ca5</v>
    <v>es-ES</v>
    <v>Generic</v>
  </rv>
  <rv s="4">
    <v>4</v>
  </rv>
  <rv s="1">
    <fb>-98.493888888888904</fb>
    <v>10</v>
  </rv>
  <rv s="0">
    <v>536870912</v>
    <v>Estados Unidos</v>
    <v>5232ed96-85b1-2edb-12c6-63e6c597a1de</v>
    <v>es-ES</v>
    <v>Map</v>
  </rv>
  <rv s="1">
    <fb>1434625</fb>
    <v>9</v>
  </rv>
  <rv s="4">
    <v>5</v>
  </rv>
  <rv s="7">
    <v>#VALUE!</v>
    <v>es-ES</v>
    <v>227b2515-cb4d-49b7-9e37-9f46f910612e</v>
    <v>536870912</v>
    <v>1</v>
    <v>17</v>
    <v>18</v>
    <v>19</v>
    <v>San Antonio</v>
    <v>5</v>
    <v>6</v>
    <v>Map</v>
    <v>7</v>
    <v>20</v>
    <v>34</v>
    <v>San Antonio es una ciudad ubicada en el condado de Béxar, en el estado estadounidense de Texas. En el Censo de 2010 tenía una población de 1 327 407 habitantes y una densidad poblacional de 1098,14 personas por km². Está atravesada por el río ...</v>
    <v>35</v>
    <v>36</v>
    <v>37</v>
    <v>38</v>
    <v>39</v>
    <v>41</v>
    <v>42</v>
    <v>San Antonio</v>
    <v>43</v>
    <v>44</v>
    <v>San Antonio</v>
    <v>mdp/vdpid/5108677976363368450</v>
    <v>45</v>
  </rv>
  <rv s="0">
    <v>536870912</v>
    <v>Medellín</v>
    <v>7b1377e4-8d6a-bcd0-6cb4-7b7c0a8f94b5</v>
    <v>es-ES</v>
    <v>Map</v>
  </rv>
  <rv s="1">
    <fb>380.74</fb>
    <v>9</v>
  </rv>
  <rv s="2">
    <v>4</v>
    <v>7</v>
    <v>21</v>
    <v>7</v>
    <v>0</v>
    <v>Image of Medellín</v>
  </rv>
  <rv s="1">
    <fb>6.2447472222222</fb>
    <v>10</v>
  </rv>
  <rv s="3">
    <v>https://www.bing.com/search?q=Medell%c3%adn&amp;form=skydnc</v>
    <v>Aprenda más con Bing</v>
  </rv>
  <rv s="0">
    <v>805306368</v>
    <v>Fico Gutierrez (Alcalde)</v>
    <v>882f5921-5342-f5f7-cffb-aefbd18d4874</v>
    <v>es-ES</v>
    <v>Generic</v>
  </rv>
  <rv s="4">
    <v>6</v>
  </rv>
  <rv s="1">
    <fb>-75.574827777777998</fb>
    <v>10</v>
  </rv>
  <rv s="1">
    <fb>2529403</fb>
    <v>9</v>
  </rv>
  <rv s="5">
    <v>#VALUE!</v>
    <v>es-ES</v>
    <v>7b1377e4-8d6a-bcd0-6cb4-7b7c0a8f94b5</v>
    <v>536870912</v>
    <v>1</v>
    <v>22</v>
    <v>2</v>
    <v>3</v>
    <v>Medellín</v>
    <v>5</v>
    <v>6</v>
    <v>Map</v>
    <v>7</v>
    <v>8</v>
    <v>48</v>
    <v>Medellín, es un distrito de Colombia y capital del departamento de Antioquia. Es la ciudad más poblada del departamento y la segunda más poblada del país después de Bogotá. Está ubicada en la parte más ancha de la región natural conocida como ...</v>
    <v>2</v>
    <v>49</v>
    <v>50</v>
    <v>51</v>
    <v>53</v>
    <v>54</v>
    <v>Medellín</v>
    <v>9</v>
    <v>55</v>
    <v>Medellín</v>
    <v>mdp/vdpid/5577506192692871181</v>
  </rv>
  <rv s="0">
    <v>536870912</v>
    <v>Pereira</v>
    <v>d348f442-8e77-a0fc-3525-8c1a05184766</v>
    <v>es-ES</v>
    <v>Map</v>
  </rv>
  <rv s="1">
    <fb>702</fb>
    <v>9</v>
  </rv>
  <rv s="0">
    <v>536870912</v>
    <v>Risaralda</v>
    <v>12859881-10e7-a44f-aa52-ed6ecbc80e7c</v>
    <v>es-ES</v>
    <v>Map</v>
  </rv>
  <rv s="2">
    <v>5</v>
    <v>7</v>
    <v>23</v>
    <v>7</v>
    <v>0</v>
    <v>Image of Pereira</v>
  </rv>
  <rv s="1">
    <fb>4.8142777777778001</fb>
    <v>10</v>
  </rv>
  <rv s="3">
    <v>https://www.bing.com/search?q=Pereira&amp;form=skydnc</v>
    <v>Aprenda más con Bing</v>
  </rv>
  <rv s="0">
    <v>805306368</v>
    <v>Mauricio Salazar Peláez (Alcalde)</v>
    <v>75ca89fe-0115-3508-eb3b-797a07abc107</v>
    <v>es-ES</v>
    <v>Generic</v>
  </rv>
  <rv s="4">
    <v>7</v>
  </rv>
  <rv s="1">
    <fb>-75.694558333333006</fb>
    <v>10</v>
  </rv>
  <rv s="1">
    <fb>481768</fb>
    <v>9</v>
  </rv>
  <rv s="4">
    <v>8</v>
  </rv>
  <rv s="6">
    <v>#VALUE!</v>
    <v>es-ES</v>
    <v>d348f442-8e77-a0fc-3525-8c1a05184766</v>
    <v>536870912</v>
    <v>1</v>
    <v>24</v>
    <v>2</v>
    <v>13</v>
    <v>Pereira</v>
    <v>5</v>
    <v>6</v>
    <v>Map</v>
    <v>7</v>
    <v>25</v>
    <v>58</v>
    <v>Pereira es un municipio colombiano, capital del departamento de Risaralda. Es la ciudad más poblada de la región del eje cafetero; integra el Área Metropolitana de Centro Occidente junto con los municipios de Dosquebradas y La Virginia. Está ...</v>
    <v>59</v>
    <v>60</v>
    <v>61</v>
    <v>62</v>
    <v>64</v>
    <v>65</v>
    <v>Pereira</v>
    <v>9</v>
    <v>66</v>
    <v>Pereira</v>
    <v>mdp/vdpid/5580596817134878721</v>
    <v>67</v>
  </rv>
  <rv s="0">
    <v>536870912</v>
    <v>Armenia</v>
    <v>9f713bea-584e-bcb2-fad2-76734e840ef6</v>
    <v>es-ES</v>
    <v>Map</v>
  </rv>
  <rv s="1">
    <fb>140</fb>
    <v>9</v>
  </rv>
  <rv s="0">
    <v>536870912</v>
    <v>Quindío</v>
    <v>0bb62acd-b714-a5dd-dc49-6f69ddaba02c</v>
    <v>es-ES</v>
    <v>Map</v>
  </rv>
  <rv s="2">
    <v>6</v>
    <v>7</v>
    <v>26</v>
    <v>7</v>
    <v>0</v>
    <v>Image of Armenia</v>
  </rv>
  <rv s="1">
    <fb>4.5388888888889003</fb>
    <v>10</v>
  </rv>
  <rv s="3">
    <v>https://www.bing.com/search?q=Armenia+Quind%c3%ado&amp;form=skydnc</v>
    <v>Aprenda más con Bing</v>
  </rv>
  <rv s="0">
    <v>805306368</v>
    <v>José Manuel Ríos Morales (Alcalde)</v>
    <v>e6a33032-bef6-fa3d-0515-57afb7af841b</v>
    <v>es-ES</v>
    <v>Generic</v>
  </rv>
  <rv s="4">
    <v>9</v>
  </rv>
  <rv s="1">
    <fb>-75.672499999999999</fb>
    <v>10</v>
  </rv>
  <rv s="1">
    <fb>304314</fb>
    <v>9</v>
  </rv>
  <rv s="6">
    <v>#VALUE!</v>
    <v>es-ES</v>
    <v>9f713bea-584e-bcb2-fad2-76734e840ef6</v>
    <v>536870912</v>
    <v>1</v>
    <v>27</v>
    <v>2</v>
    <v>13</v>
    <v>Armenia</v>
    <v>5</v>
    <v>6</v>
    <v>Map</v>
    <v>7</v>
    <v>8</v>
    <v>70</v>
    <v>Armenia es un municipio colombiano, capital del departamento del Quindío y núcleo económico de su área metropolitana. Es una de las principales ciudades del Eje Cafetero Colombiano, la Región Paisa y el Paisaje Cultural Cafetero. Fue fundada por ...</v>
    <v>71</v>
    <v>72</v>
    <v>73</v>
    <v>74</v>
    <v>76</v>
    <v>77</v>
    <v>Armenia</v>
    <v>9</v>
    <v>78</v>
    <v>Armenia</v>
    <v>mdp/vdpid/5580601899104600065</v>
    <v>21</v>
  </rv>
  <rv s="0">
    <v>536870912</v>
    <v>Calarcá</v>
    <v>dda927e3-faeb-50d3-05dc-d6f742be400e</v>
    <v>es-ES</v>
    <v>Map</v>
  </rv>
  <rv s="1">
    <fb>219.23</fb>
    <v>9</v>
  </rv>
  <rv s="2">
    <v>7</v>
    <v>7</v>
    <v>28</v>
    <v>7</v>
    <v>0</v>
    <v>Image of Calarcá</v>
  </rv>
  <rv s="1">
    <fb>4.5291666666666996</fb>
    <v>10</v>
  </rv>
  <rv s="3">
    <v>https://www.bing.com/search?q=Calarc%c3%a1+Quind%c3%ado&amp;form=skydnc</v>
    <v>Aprenda más con Bing</v>
  </rv>
  <rv s="0">
    <v>805306368</v>
    <v>Luis Alberto Balsero Contreras (Alcalde)</v>
    <v>3692cbd1-00a8-e7d6-6d34-ff30cc35d436</v>
    <v>es-ES</v>
    <v>Generic</v>
  </rv>
  <rv s="4">
    <v>10</v>
  </rv>
  <rv s="1">
    <fb>-75.640833333333006</fb>
    <v>10</v>
  </rv>
  <rv s="1">
    <fb>75979</fb>
    <v>9</v>
  </rv>
  <rv s="5">
    <v>#VALUE!</v>
    <v>es-ES</v>
    <v>dda927e3-faeb-50d3-05dc-d6f742be400e</v>
    <v>536870912</v>
    <v>1</v>
    <v>29</v>
    <v>2</v>
    <v>3</v>
    <v>Calarcá</v>
    <v>5</v>
    <v>6</v>
    <v>Map</v>
    <v>7</v>
    <v>25</v>
    <v>81</v>
    <v>Calarcá es un municipio colombiano perteneciente al departamento del Quindío. Es el segundo municipio con mayor cantidad de habitantes del departamento, después de la capital: Armenia. La ciudad es gobernada por un Alcalde y un Concejo ...</v>
    <v>71</v>
    <v>82</v>
    <v>83</v>
    <v>84</v>
    <v>86</v>
    <v>87</v>
    <v>Calarcá</v>
    <v>9</v>
    <v>88</v>
    <v>Calarcá</v>
    <v>mdp/vdpid/5580613724273639425</v>
  </rv>
  <rv s="0">
    <v>536870912</v>
    <v>Montenegro</v>
    <v>21890e6d-913d-80e6-cc2f-910169b1564c</v>
    <v>es-ES</v>
    <v>Map</v>
  </rv>
  <rv s="1">
    <fb>149</fb>
    <v>9</v>
  </rv>
  <rv s="2">
    <v>8</v>
    <v>7</v>
    <v>30</v>
    <v>7</v>
    <v>0</v>
    <v>Image of Montenegro</v>
  </rv>
  <rv s="1">
    <fb>4.5652777777778004</fb>
    <v>10</v>
  </rv>
  <rv s="3">
    <v>https://www.bing.com/search?q=Montenegro+Quind%c3%ado&amp;form=skydnc</v>
    <v>Aprenda más con Bing</v>
  </rv>
  <rv s="1">
    <fb>-75.751111111111001</fb>
    <v>10</v>
  </rv>
  <rv s="1">
    <fb>41996</fb>
    <v>9</v>
  </rv>
  <rv s="8">
    <v>#VALUE!</v>
    <v>es-ES</v>
    <v>21890e6d-913d-80e6-cc2f-910169b1564c</v>
    <v>536870912</v>
    <v>1</v>
    <v>32</v>
    <v>2</v>
    <v>33</v>
    <v>Montenegro</v>
    <v>5</v>
    <v>6</v>
    <v>Map</v>
    <v>7</v>
    <v>20</v>
    <v>91</v>
    <v>Montenegro es un municipio del departamento del Quindío en Colombia. Su cabecera municipal se localiza a los 4° 34 de latitud Norte, y 75° 45 de longitud al oeste de Greenwich y se sitúa a 10 kilómetros al oeste de Armenia haciendo parte de su ...</v>
    <v>71</v>
    <v>92</v>
    <v>93</v>
    <v>94</v>
    <v>95</v>
    <v>Montenegro</v>
    <v>9</v>
    <v>96</v>
    <v>Montenegro</v>
    <v>mdp/vdpid/5580613073820975105</v>
  </rv>
  <rv s="0">
    <v>536870912</v>
    <v>Circasia</v>
    <v>1bcdad08-78a6-2899-aea2-727fccbe0b10</v>
    <v>es-ES</v>
    <v>Map</v>
  </rv>
  <rv s="1">
    <fb>91</fb>
    <v>9</v>
  </rv>
  <rv s="2">
    <v>9</v>
    <v>7</v>
    <v>34</v>
    <v>7</v>
    <v>0</v>
    <v>Image of Circasia</v>
  </rv>
  <rv s="1">
    <fb>4.62</fb>
    <v>10</v>
  </rv>
  <rv s="3">
    <v>https://www.bing.com/search?q=Circasia+Quind%c3%ado&amp;form=skydnc</v>
    <v>Aprenda más con Bing</v>
  </rv>
  <rv s="1">
    <fb>-75.634722222222194</fb>
    <v>10</v>
  </rv>
  <rv s="1">
    <fb>28162</fb>
    <v>9</v>
  </rv>
  <rv s="8">
    <v>#VALUE!</v>
    <v>es-ES</v>
    <v>1bcdad08-78a6-2899-aea2-727fccbe0b10</v>
    <v>536870912</v>
    <v>1</v>
    <v>35</v>
    <v>2</v>
    <v>33</v>
    <v>Circasia</v>
    <v>5</v>
    <v>6</v>
    <v>Map</v>
    <v>7</v>
    <v>8</v>
    <v>99</v>
    <v>Circasia es un municipio ubicado en el norte del departamento del Quindío, Colombia. Está localizado a 7 km al norte de la capital del departamento, Armenia, hace parte del área metropolitana de la misma.</v>
    <v>71</v>
    <v>100</v>
    <v>101</v>
    <v>102</v>
    <v>103</v>
    <v>Circasia</v>
    <v>9</v>
    <v>104</v>
    <v>Circasia</v>
    <v>mdp/vdpid/5580601732875943937</v>
  </rv>
  <rv s="0">
    <v>536870912</v>
    <v>La Tebaida</v>
    <v>818b56be-0dae-0d6d-3dce-e47209c46395</v>
    <v>es-ES</v>
    <v>Map</v>
  </rv>
  <rv s="1">
    <fb>89</fb>
    <v>9</v>
  </rv>
  <rv s="2">
    <v>10</v>
    <v>7</v>
    <v>36</v>
    <v>7</v>
    <v>0</v>
    <v>Image of La Tebaida</v>
  </rv>
  <rv s="1">
    <fb>4.4522222222221997</fb>
    <v>10</v>
  </rv>
  <rv s="3">
    <v>https://www.bing.com/search?q=La+Tebaida+Colombia&amp;form=skydnc</v>
    <v>Aprenda más con Bing</v>
  </rv>
  <rv s="0">
    <v>805306368</v>
    <v>Rosa Patricia Buitrago Giraldo (Alcalde)</v>
    <v>2bab4973-a8bd-4f58-1376-4fe1cba182ef</v>
    <v>es-ES</v>
    <v>Generic</v>
  </rv>
  <rv s="4">
    <v>11</v>
  </rv>
  <rv s="1">
    <fb>-75.786666666667003</fb>
    <v>10</v>
  </rv>
  <rv s="1">
    <fb>42163</fb>
    <v>9</v>
  </rv>
  <rv s="5">
    <v>#VALUE!</v>
    <v>es-ES</v>
    <v>818b56be-0dae-0d6d-3dce-e47209c46395</v>
    <v>536870912</v>
    <v>1</v>
    <v>38</v>
    <v>2</v>
    <v>3</v>
    <v>La Tebaida</v>
    <v>5</v>
    <v>6</v>
    <v>Map</v>
    <v>7</v>
    <v>39</v>
    <v>107</v>
    <v>La Tebaida es un municipio del departamento de Quindío en Colombia. Según el censo de 2005, tiene 32 748 habitantes, de los cuales 27 000 habitan en la zona urbana. La Zona Franca del Quindío y el Aeropuerto Internacional El Edén, que se ubican ...</v>
    <v>71</v>
    <v>108</v>
    <v>109</v>
    <v>110</v>
    <v>112</v>
    <v>113</v>
    <v>La Tebaida</v>
    <v>9</v>
    <v>114</v>
    <v>La Tebaida</v>
    <v>mdp/vdpid/5580612693783478273</v>
  </rv>
  <rv s="0">
    <v>536870912</v>
    <v>Quimbaya</v>
    <v>e11d34ac-06ec-fddd-2922-bcc1256911ae</v>
    <v>es-ES</v>
    <v>Map</v>
  </rv>
  <rv s="2">
    <v>11</v>
    <v>7</v>
    <v>40</v>
    <v>7</v>
    <v>0</v>
    <v>Image of Quimbaya</v>
  </rv>
  <rv s="1">
    <fb>4.6238888888889003</fb>
    <v>10</v>
  </rv>
  <rv s="3">
    <v>https://www.bing.com/search?q=Quimbaya+Quind%c3%ado&amp;form=skydnc</v>
    <v>Aprenda más con Bing</v>
  </rv>
  <rv s="1">
    <fb>-75.763055555555994</fb>
    <v>10</v>
  </rv>
  <rv s="1">
    <fb>35276</fb>
    <v>9</v>
  </rv>
  <rv s="9">
    <v>#VALUE!</v>
    <v>es-ES</v>
    <v>e11d34ac-06ec-fddd-2922-bcc1256911ae</v>
    <v>536870912</v>
    <v>1</v>
    <v>41</v>
    <v>42</v>
    <v>43</v>
    <v>Quimbaya</v>
    <v>5</v>
    <v>6</v>
    <v>Map</v>
    <v>7</v>
    <v>44</v>
    <v>Quimbaya es un municipio colombiano ubicado en la parte occidental del departamento del Quindío. Se encuentra a 20 km al noroeste de la capital del departamento, Armenia. Su nombre de la ciudad deriva de la cultura precolombina de la ...</v>
    <v>71</v>
    <v>117</v>
    <v>118</v>
    <v>119</v>
    <v>120</v>
    <v>Quimbaya</v>
    <v>9</v>
    <v>121</v>
    <v>Quimbaya</v>
    <v>mdp/vdpid/5580599568682188801</v>
  </rv>
  <rv s="0">
    <v>536870912</v>
    <v>Caldas</v>
    <v>04477714-e978-8f38-f5a0-4812061eb226</v>
    <v>es-ES</v>
    <v>Map</v>
  </rv>
  <rv s="1">
    <fb>133.4</fb>
    <v>9</v>
  </rv>
  <rv s="2">
    <v>12</v>
    <v>7</v>
    <v>45</v>
    <v>7</v>
    <v>0</v>
    <v>Image of Caldas</v>
  </rv>
  <rv s="1">
    <fb>6.0886111111111001</fb>
    <v>10</v>
  </rv>
  <rv s="3">
    <v>https://www.bing.com/search?q=Caldas+Antioquia&amp;form=skydnc</v>
    <v>Aprenda más con Bing</v>
  </rv>
  <rv s="0">
    <v>805306368</v>
    <v>Mauricio Cano Carmona (Alcalde)</v>
    <v>e43f21fa-47d8-d579-476d-7a3920cf2fc8</v>
    <v>es-ES</v>
    <v>Generic</v>
  </rv>
  <rv s="4">
    <v>12</v>
  </rv>
  <rv s="1">
    <fb>-75.636111111111006</fb>
    <v>10</v>
  </rv>
  <rv s="1">
    <fb>82234</fb>
    <v>9</v>
  </rv>
  <rv s="10">
    <v>#VALUE!</v>
    <v>es-ES</v>
    <v>04477714-e978-8f38-f5a0-4812061eb226</v>
    <v>536870912</v>
    <v>1</v>
    <v>47</v>
    <v>18</v>
    <v>48</v>
    <v>Caldas</v>
    <v>5</v>
    <v>6</v>
    <v>Map</v>
    <v>7</v>
    <v>20</v>
    <v>124</v>
    <v>Caldas es un municipio de Colombia, que está ubicado en el Valle de Aburrá del departamento de Antioquia. Limita por el norte con los municipios de La Estrella, Sabaneta y Envigado, por el este con el municipio de El Retiro, por el sur con los ...</v>
    <v>2</v>
    <v>2</v>
    <v>125</v>
    <v>126</v>
    <v>127</v>
    <v>129</v>
    <v>130</v>
    <v>Caldas</v>
    <v>9</v>
    <v>131</v>
    <v>Caldas</v>
    <v>mdp/vdpid/5577504301816741889</v>
  </rv>
  <rv s="0">
    <v>536870912</v>
    <v>La Estrella</v>
    <v>9c4a4ef2-2e3d-2eb2-b997-edd64bcbfe4e</v>
    <v>es-ES</v>
    <v>Map</v>
  </rv>
  <rv s="1">
    <fb>35</fb>
    <v>9</v>
  </rv>
  <rv s="2">
    <v>13</v>
    <v>7</v>
    <v>50</v>
    <v>7</v>
    <v>0</v>
    <v>Image of La Estrella</v>
  </rv>
  <rv s="1">
    <fb>6.1561111111111</fb>
    <v>10</v>
  </rv>
  <rv s="3">
    <v>https://www.bing.com/search?q=La+Estrella+Antioquia&amp;form=skydnc</v>
    <v>Aprenda más con Bing</v>
  </rv>
  <rv s="1">
    <fb>-75.641388888888997</fb>
    <v>10</v>
  </rv>
  <rv s="1">
    <fb>71545</fb>
    <v>9</v>
  </rv>
  <rv s="8">
    <v>#VALUE!</v>
    <v>es-ES</v>
    <v>9c4a4ef2-2e3d-2eb2-b997-edd64bcbfe4e</v>
    <v>536870912</v>
    <v>1</v>
    <v>51</v>
    <v>2</v>
    <v>33</v>
    <v>La Estrella</v>
    <v>5</v>
    <v>6</v>
    <v>Map</v>
    <v>7</v>
    <v>8</v>
    <v>134</v>
    <v>La Estrella, fundado como Nuestra Señora del Rosario de La Estrella, es un municipio de Colombia, ubicado en el Valle de Aburrá del departamento de Antioquia. Limita por el norte con los municipios de Medellín e Itagüí, por el este con los ...</v>
    <v>2</v>
    <v>135</v>
    <v>136</v>
    <v>137</v>
    <v>138</v>
    <v>La Estrella</v>
    <v>9</v>
    <v>139</v>
    <v>La Estrella</v>
    <v>mdp/vdpid/5577501281515208707</v>
  </rv>
</rvData>
</file>

<file path=xl/richData/rdrichvaluestructure.xml><?xml version="1.0" encoding="utf-8"?>
<rvStructures xmlns="http://schemas.microsoft.com/office/spreadsheetml/2017/richdata" count="11">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array">
    <k n="array" t="a"/>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Imagen" t="r"/>
    <k n="Latitud" t="r"/>
    <k n="LearnMoreOnLink" t="r"/>
    <k n="Líder(es)"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Imagen" t="r"/>
    <k n="Latitud" t="r"/>
    <k n="LearnMoreOnLink" t="r"/>
    <k n="Líder(es)" t="r"/>
    <k n="Longitud"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División de administración 2 (condado/distrito/otro)" t="r"/>
    <k n="Imagen" t="r"/>
    <k n="Latitud" t="r"/>
    <k n="LearnMoreOnLink" t="r"/>
    <k n="Líder(es)" t="r"/>
    <k n="Longitud"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Imagen" t="r"/>
    <k n="Latitud" t="r"/>
    <k n="LearnMoreOnLink"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Descripción" t="s"/>
    <k n="División de administración 1 (estado/provincia/otro)" t="r"/>
    <k n="Imagen" t="r"/>
    <k n="Latitud" t="r"/>
    <k n="LearnMoreOnLink"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División de administración 2 (condado/distrito/otro)" t="r"/>
    <k n="Imagen" t="r"/>
    <k n="Latitud" t="r"/>
    <k n="LearnMoreOnLink" t="r"/>
    <k n="Líder(es)" t="r"/>
    <k n="Longitud" t="r"/>
    <k n="Nombre" t="s"/>
    <k n="País o región" t="r"/>
    <k n="Población" t="r"/>
    <k n="UniqueName" t="s"/>
    <k n="VDPID/VSID" t="s"/>
  </s>
</rvStructures>
</file>

<file path=xl/richData/rdsupportingpropertybag.xml><?xml version="1.0" encoding="utf-8"?>
<supportingPropertyBags xmlns="http://schemas.microsoft.com/office/spreadsheetml/2017/richdata2">
  <spbArrays count="6">
    <a count="26">
      <v t="s">%EntityServiceId</v>
      <v t="s">%IsRefreshable</v>
      <v t="s">_CanonicalPropertyNames</v>
      <v t="s">%EntityCulture</v>
      <v t="s">%EntityId</v>
      <v t="s">_Icon</v>
      <v t="s">_Provider</v>
      <v t="s">_Attribution</v>
      <v t="s">_Display</v>
      <v t="s">Nombre</v>
      <v t="s">_Format</v>
      <v t="s">División de administración 1 (estado/provincia/otro)</v>
      <v t="s">País o región</v>
      <v t="s">Líder(es)</v>
      <v t="s">_SubLabel</v>
      <v t="s">Población</v>
      <v t="s">`Área</v>
      <v t="s">Latitud</v>
      <v t="s">Longitud</v>
      <v t="s">_Flags</v>
      <v t="s">VDPID/VSID</v>
      <v t="s">UniqueName</v>
      <v t="s">_DisplayString</v>
      <v t="s">LearnMoreOnLink</v>
      <v t="s">Imagen</v>
      <v t="s">Descripción</v>
    </a>
    <a count="27">
      <v t="s">%EntityServiceId</v>
      <v t="s">%IsRefreshable</v>
      <v t="s">_CanonicalPropertyNames</v>
      <v t="s">%EntityCulture</v>
      <v t="s">%EntityId</v>
      <v t="s">_Icon</v>
      <v t="s">_Provider</v>
      <v t="s">_Attribution</v>
      <v t="s">_Display</v>
      <v t="s">Nombre</v>
      <v t="s">_Format</v>
      <v t="s">División de administración 1 (estado/provincia/otro)</v>
      <v t="s">País o región</v>
      <v t="s">Líder(es)</v>
      <v t="s">_SubLabel</v>
      <v t="s">Población</v>
      <v t="s">`Área</v>
      <v t="s">Latitud</v>
      <v t="s">Longitud</v>
      <v t="s">Zona(s) horaria(s)</v>
      <v t="s">_Flags</v>
      <v t="s">VDPID/VSID</v>
      <v t="s">UniqueName</v>
      <v t="s">_DisplayString</v>
      <v t="s">LearnMoreOnLink</v>
      <v t="s">Imagen</v>
      <v t="s">Descripción</v>
    </a>
    <a count="28">
      <v t="s">%EntityServiceId</v>
      <v t="s">%IsRefreshable</v>
      <v t="s">_CanonicalPropertyNames</v>
      <v t="s">%EntityCulture</v>
      <v t="s">%EntityId</v>
      <v t="s">_Icon</v>
      <v t="s">_Provider</v>
      <v t="s">_Attribution</v>
      <v t="s">_Display</v>
      <v t="s">Nombre</v>
      <v t="s">_Format</v>
      <v t="s">División de administración 2 (condado/distrito/otro)</v>
      <v t="s">División de administración 1 (estado/provincia/otro)</v>
      <v t="s">País o región</v>
      <v t="s">Líder(es)</v>
      <v t="s">_SubLabel</v>
      <v t="s">Población</v>
      <v t="s">`Área</v>
      <v t="s">Latitud</v>
      <v t="s">Longitud</v>
      <v t="s">Zona(s) horaria(s)</v>
      <v t="s">_Flags</v>
      <v t="s">VDPID/VSID</v>
      <v t="s">UniqueName</v>
      <v t="s">_DisplayString</v>
      <v t="s">LearnMoreOnLink</v>
      <v t="s">Imagen</v>
      <v t="s">Descripción</v>
    </a>
    <a count="25">
      <v t="s">%EntityServiceId</v>
      <v t="s">%IsRefreshable</v>
      <v t="s">_CanonicalPropertyNames</v>
      <v t="s">%EntityCulture</v>
      <v t="s">%EntityId</v>
      <v t="s">_Icon</v>
      <v t="s">_Provider</v>
      <v t="s">_Attribution</v>
      <v t="s">_Display</v>
      <v t="s">Nombre</v>
      <v t="s">_Format</v>
      <v t="s">División de administración 1 (estado/provincia/otro)</v>
      <v t="s">País o región</v>
      <v t="s">_SubLabel</v>
      <v t="s">Población</v>
      <v t="s">`Área</v>
      <v t="s">Latitud</v>
      <v t="s">Longitud</v>
      <v t="s">_Flags</v>
      <v t="s">VDPID/VSID</v>
      <v t="s">UniqueName</v>
      <v t="s">_DisplayString</v>
      <v t="s">LearnMoreOnLink</v>
      <v t="s">Imagen</v>
      <v t="s">Descripción</v>
    </a>
    <a count="24">
      <v t="s">%EntityServiceId</v>
      <v t="s">%IsRefreshable</v>
      <v t="s">_CanonicalPropertyNames</v>
      <v t="s">%EntityCulture</v>
      <v t="s">%EntityId</v>
      <v t="s">_Icon</v>
      <v t="s">_Provider</v>
      <v t="s">_Attribution</v>
      <v t="s">_Display</v>
      <v t="s">Nombre</v>
      <v t="s">_Format</v>
      <v t="s">División de administración 1 (estado/provincia/otro)</v>
      <v t="s">País o región</v>
      <v t="s">_SubLabel</v>
      <v t="s">Población</v>
      <v t="s">Latitud</v>
      <v t="s">Longitud</v>
      <v t="s">_Flags</v>
      <v t="s">VDPID/VSID</v>
      <v t="s">UniqueName</v>
      <v t="s">_DisplayString</v>
      <v t="s">LearnMoreOnLink</v>
      <v t="s">Imagen</v>
      <v t="s">Descripción</v>
    </a>
    <a count="27">
      <v t="s">%EntityServiceId</v>
      <v t="s">%IsRefreshable</v>
      <v t="s">_CanonicalPropertyNames</v>
      <v t="s">%EntityCulture</v>
      <v t="s">%EntityId</v>
      <v t="s">_Icon</v>
      <v t="s">_Provider</v>
      <v t="s">_Attribution</v>
      <v t="s">_Display</v>
      <v t="s">Nombre</v>
      <v t="s">_Format</v>
      <v t="s">División de administración 2 (condado/distrito/otro)</v>
      <v t="s">División de administración 1 (estado/provincia/otro)</v>
      <v t="s">País o región</v>
      <v t="s">Líder(es)</v>
      <v t="s">_SubLabel</v>
      <v t="s">Población</v>
      <v t="s">`Área</v>
      <v t="s">Latitud</v>
      <v t="s">Longitud</v>
      <v t="s">_Flags</v>
      <v t="s">VDPID/VSID</v>
      <v t="s">UniqueName</v>
      <v t="s">_DisplayString</v>
      <v t="s">LearnMoreOnLink</v>
      <v t="s">Imagen</v>
      <v t="s">Descripción</v>
    </a>
  </spbArrays>
  <spbData count="52">
    <spb s="0">
      <v xml:space="preserve">Wikipedia	</v>
      <v xml:space="preserve">CC BY-SA 3.0	</v>
      <v xml:space="preserve">https://es.wikipedia.org/wiki/Itag%C3%BC%C3%AD	</v>
      <v xml:space="preserve">https://creativecommons.org/licenses/by-sa/3.0	</v>
    </spb>
    <spb s="1">
      <v>0</v>
      <v>0</v>
      <v>0</v>
      <v>0</v>
      <v>0</v>
      <v>0</v>
      <v>0</v>
      <v>0</v>
      <v>0</v>
    </spb>
    <spb s="2">
      <v>Area</v>
      <v>Image</v>
      <v>Name</v>
      <v>Latitude</v>
      <v>Longitude</v>
      <v>Population</v>
      <v>UniqueName</v>
      <v>VDPID/VSID</v>
      <v>Description</v>
      <v>Country/region</v>
      <v>LearnMoreOnLink</v>
      <v>Admin Division 1 (State/province/other)</v>
    </spb>
    <spb s="3">
      <v>0</v>
      <v>Name</v>
      <v>LearnMoreOnLink</v>
    </spb>
    <spb s="4">
      <v>0</v>
      <v>0</v>
      <v>0</v>
    </spb>
    <spb s="5">
      <v>4</v>
      <v>4</v>
      <v>4</v>
    </spb>
    <spb s="6">
      <v>1</v>
      <v>2</v>
    </spb>
    <spb s="7">
      <v>https://www.bing.com</v>
      <v>https://www.bing.com/th?id=Ga%5Cbing_yt.png&amp;w=100&amp;h=40&amp;c=0&amp;pid=0.1</v>
      <v>Con tecnología de Bing</v>
    </spb>
    <spb s="8">
      <v>kilómetro cuadrado</v>
      <v>2018</v>
    </spb>
    <spb s="9">
      <v>3</v>
    </spb>
    <spb s="9">
      <v>4</v>
    </spb>
    <spb s="0">
      <v xml:space="preserve">Wikipedia	</v>
      <v xml:space="preserve">CC BY-SA 3.0	</v>
      <v xml:space="preserve">https://es.wikipedia.org/wiki/Envigado	</v>
      <v xml:space="preserve">https://creativecommons.org/licenses/by-sa/3.0	</v>
    </spb>
    <spb s="1">
      <v>11</v>
      <v>11</v>
      <v>11</v>
      <v>11</v>
      <v>11</v>
      <v>11</v>
      <v>11</v>
      <v>11</v>
      <v>11</v>
    </spb>
    <spb s="3">
      <v>1</v>
      <v>Name</v>
      <v>LearnMoreOnLink</v>
    </spb>
    <spb s="0">
      <v xml:space="preserve">Wikipedia	</v>
      <v xml:space="preserve">CC BY-SA 3.0	</v>
      <v xml:space="preserve">https://es.wikipedia.org/wiki/Sabaneta_(Colombia)	</v>
      <v xml:space="preserve">https://creativecommons.org/licenses/by-sa/3.0	</v>
    </spb>
    <spb s="1">
      <v>14</v>
      <v>14</v>
      <v>14</v>
      <v>14</v>
      <v>14</v>
      <v>14</v>
      <v>14</v>
      <v>14</v>
      <v>14</v>
    </spb>
    <spb s="0">
      <v xml:space="preserve">Wikipedia	</v>
      <v xml:space="preserve">CC BY-SA 3.0	</v>
      <v xml:space="preserve">https://es.wikipedia.org/wiki/San_Antonio_(Texas)	</v>
      <v xml:space="preserve">https://creativecommons.org/licenses/by-sa/3.0	</v>
    </spb>
    <spb s="10">
      <v>16</v>
      <v>16</v>
      <v>16</v>
      <v>16</v>
      <v>16</v>
      <v>16</v>
      <v>16</v>
      <v>16</v>
      <v>16</v>
      <v>16</v>
    </spb>
    <spb s="11">
      <v>Area</v>
      <v>Image</v>
      <v>Name</v>
      <v>Latitude</v>
      <v>Longitude</v>
      <v>Population</v>
      <v>UniqueName</v>
      <v>VDPID/VSID</v>
      <v>Description</v>
      <v>Country/region</v>
      <v>LearnMoreOnLink</v>
      <v>Admin Division 1 (State/province/other)</v>
      <v>Admin Division 2 (County/district/other)</v>
    </spb>
    <spb s="3">
      <v>2</v>
      <v>Name</v>
      <v>LearnMoreOnLink</v>
    </spb>
    <spb s="8">
      <v>kilómetro cuadrado</v>
      <v>2020</v>
    </spb>
    <spb s="0">
      <v xml:space="preserve">Wikipedia	</v>
      <v xml:space="preserve">CC BY-SA 3.0	</v>
      <v xml:space="preserve">https://es.wikipedia.org/wiki/Medell%C3%ADn	</v>
      <v xml:space="preserve">https://creativecommons.org/licenses/by-sa/3.0	</v>
    </spb>
    <spb s="1">
      <v>21</v>
      <v>21</v>
      <v>21</v>
      <v>21</v>
      <v>21</v>
      <v>21</v>
      <v>21</v>
      <v>21</v>
      <v>21</v>
    </spb>
    <spb s="0">
      <v xml:space="preserve">Wikipedia	</v>
      <v xml:space="preserve">CC BY-SA 3.0	</v>
      <v xml:space="preserve">https://es.wikipedia.org/wiki/Pereira	</v>
      <v xml:space="preserve">https://creativecommons.org/licenses/by-sa/3.0	</v>
    </spb>
    <spb s="1">
      <v>23</v>
      <v>23</v>
      <v>23</v>
      <v>23</v>
      <v>23</v>
      <v>23</v>
      <v>23</v>
      <v>23</v>
      <v>23</v>
    </spb>
    <spb s="8">
      <v>kilómetro cuadrado</v>
      <v>2023</v>
    </spb>
    <spb s="0">
      <v xml:space="preserve">Wikipedia	</v>
      <v xml:space="preserve">CC BY-SA 3.0	</v>
      <v xml:space="preserve">https://es.wikipedia.org/wiki/Armenia_(Quind%C3%ADo)	</v>
      <v xml:space="preserve">https://creativecommons.org/licenses/by-sa/3.0	</v>
    </spb>
    <spb s="1">
      <v>26</v>
      <v>26</v>
      <v>26</v>
      <v>26</v>
      <v>26</v>
      <v>26</v>
      <v>26</v>
      <v>26</v>
      <v>26</v>
    </spb>
    <spb s="0">
      <v xml:space="preserve">Wikipedia	</v>
      <v xml:space="preserve">CC BY-SA 3.0	</v>
      <v xml:space="preserve">https://es.wikipedia.org/wiki/Calarc%C3%A1_(Quind%C3%ADo)	</v>
      <v xml:space="preserve">https://creativecommons.org/licenses/by-sa/3.0	</v>
    </spb>
    <spb s="1">
      <v>28</v>
      <v>28</v>
      <v>28</v>
      <v>28</v>
      <v>28</v>
      <v>28</v>
      <v>28</v>
      <v>28</v>
      <v>28</v>
    </spb>
    <spb s="0">
      <v xml:space="preserve">Wikipedia	</v>
      <v xml:space="preserve">CC BY-SA 3.0	</v>
      <v xml:space="preserve">https://es.wikipedia.org/wiki/Montenegro_(Quind%C3%ADo)	</v>
      <v xml:space="preserve">https://creativecommons.org/licenses/by-sa/3.0	</v>
    </spb>
    <spb s="0">
      <v xml:space="preserve">Wikipedia	</v>
      <v xml:space="preserve">CC-BY-SA	</v>
      <v xml:space="preserve">http://en.wikipedia.org/wiki/Montenegro,_Quindío	</v>
      <v xml:space="preserve">http://creativecommons.org/licenses/by-sa/3.0/	</v>
    </spb>
    <spb s="1">
      <v>30</v>
      <v>30</v>
      <v>30</v>
      <v>30</v>
      <v>31</v>
      <v>30</v>
      <v>30</v>
      <v>30</v>
      <v>30</v>
    </spb>
    <spb s="3">
      <v>3</v>
      <v>Name</v>
      <v>LearnMoreOnLink</v>
    </spb>
    <spb s="0">
      <v xml:space="preserve">Wikipedia	</v>
      <v xml:space="preserve">CC BY-SA 3.0	</v>
      <v xml:space="preserve">https://es.wikipedia.org/wiki/Circasia_(Quind%C3%ADo)	</v>
      <v xml:space="preserve">https://creativecommons.org/licenses/by-sa/3.0	</v>
    </spb>
    <spb s="1">
      <v>34</v>
      <v>34</v>
      <v>34</v>
      <v>34</v>
      <v>34</v>
      <v>34</v>
      <v>34</v>
      <v>34</v>
      <v>34</v>
    </spb>
    <spb s="0">
      <v xml:space="preserve">Wikipedia	</v>
      <v xml:space="preserve">CC BY-SA 3.0	</v>
      <v xml:space="preserve">https://es.wikipedia.org/wiki/La_Tebaida	</v>
      <v xml:space="preserve">https://creativecommons.org/licenses/by-sa/3.0	</v>
    </spb>
    <spb s="0">
      <v xml:space="preserve">Wikipedia	</v>
      <v xml:space="preserve">CC-BY-SA	</v>
      <v xml:space="preserve">http://en.wikipedia.org/wiki/La_Tebaida,_Quindío	</v>
      <v xml:space="preserve">http://creativecommons.org/licenses/by-sa/3.0/	</v>
    </spb>
    <spb s="1">
      <v>36</v>
      <v>36</v>
      <v>36</v>
      <v>36</v>
      <v>37</v>
      <v>36</v>
      <v>36</v>
      <v>36</v>
      <v>36</v>
    </spb>
    <spb s="8">
      <v>kilómetro cuadrado</v>
      <v>2015</v>
    </spb>
    <spb s="0">
      <v xml:space="preserve">Wikipedia	</v>
      <v xml:space="preserve">CC BY-SA 3.0	</v>
      <v xml:space="preserve">https://es.wikipedia.org/wiki/Quimbaya_(Quind%C3%ADo)	</v>
      <v xml:space="preserve">https://creativecommons.org/licenses/by-sa/3.0	</v>
    </spb>
    <spb s="12">
      <v>40</v>
      <v>40</v>
      <v>40</v>
      <v>40</v>
      <v>40</v>
      <v>40</v>
      <v>40</v>
      <v>40</v>
    </spb>
    <spb s="13">
      <v>Image</v>
      <v>Name</v>
      <v>Latitude</v>
      <v>Longitude</v>
      <v>Population</v>
      <v>UniqueName</v>
      <v>VDPID/VSID</v>
      <v>Description</v>
      <v>Country/region</v>
      <v>LearnMoreOnLink</v>
      <v>Admin Division 1 (State/province/other)</v>
    </spb>
    <spb s="3">
      <v>4</v>
      <v>Name</v>
      <v>LearnMoreOnLink</v>
    </spb>
    <spb s="14">
      <v>2018</v>
    </spb>
    <spb s="0">
      <v xml:space="preserve">Wikipedia	</v>
      <v xml:space="preserve">CC BY-SA 3.0	</v>
      <v xml:space="preserve">https://es.wikipedia.org/wiki/Caldas_(Antioquia)	</v>
      <v xml:space="preserve">https://creativecommons.org/licenses/by-sa/3.0	</v>
    </spb>
    <spb s="0">
      <v xml:space="preserve">Wikipedia	</v>
      <v xml:space="preserve">CC-BY-SA	</v>
      <v xml:space="preserve">http://en.wikipedia.org/wiki/Caldas,_Antioquia	</v>
      <v xml:space="preserve">http://creativecommons.org/licenses/by-sa/3.0/	</v>
    </spb>
    <spb s="10">
      <v>45</v>
      <v>45</v>
      <v>45</v>
      <v>45</v>
      <v>46</v>
      <v>45</v>
      <v>45</v>
      <v>45</v>
      <v>45</v>
      <v>45</v>
    </spb>
    <spb s="3">
      <v>5</v>
      <v>Name</v>
      <v>LearnMoreOnLink</v>
    </spb>
    <spb s="0">
      <v xml:space="preserve">Wikipedia	</v>
      <v xml:space="preserve">CC-BY-SA	</v>
      <v xml:space="preserve">http://en.wikipedia.org/wiki/La_Estrella,_Antioquia	</v>
      <v xml:space="preserve">http://creativecommons.org/licenses/by-sa/3.0/	</v>
    </spb>
    <spb s="0">
      <v xml:space="preserve">Wikipedia	</v>
      <v xml:space="preserve">CC BY-SA 3.0	</v>
      <v xml:space="preserve">https://es.wikipedia.org/wiki/La_Estrella_(Antioquia)	</v>
      <v xml:space="preserve">https://creativecommons.org/licenses/by-sa/3.0	</v>
    </spb>
    <spb s="1">
      <v>49</v>
      <v>50</v>
      <v>50</v>
      <v>50</v>
      <v>50</v>
      <v>50</v>
      <v>50</v>
      <v>50</v>
      <v>50</v>
    </spb>
  </spbData>
</supportingPropertyBags>
</file>

<file path=xl/richData/rdsupportingpropertybagstructure.xml><?xml version="1.0" encoding="utf-8"?>
<spbStructures xmlns="http://schemas.microsoft.com/office/spreadsheetml/2017/richdata2" count="15">
  <s>
    <k n="SourceText" t="s"/>
    <k n="LicenseText" t="s"/>
    <k n="SourceAddress" t="s"/>
    <k n="LicenseAddress" t="s"/>
  </s>
  <s>
    <k n="`Área" t="spb"/>
    <k n="Nombre" t="spb"/>
    <k n="Latitud" t="spb"/>
    <k n="Longitud" t="spb"/>
    <k n="Población" t="spb"/>
    <k n="UniqueName" t="spb"/>
    <k n="Descripción" t="spb"/>
    <k n="País o región" t="spb"/>
    <k n="División de administración 1 (estado/provincia/otro)" t="spb"/>
  </s>
  <s>
    <k n="Área" t="s"/>
    <k n="Imagen" t="s"/>
    <k n="Nombre" t="s"/>
    <k n="Latitud" t="s"/>
    <k n="Longitud" t="s"/>
    <k n="Población" t="s"/>
    <k n="UniqueName" t="s"/>
    <k n="VDPID/VSID" t="s"/>
    <k n="Descripción" t="s"/>
    <k n="País o región" t="s"/>
    <k n="LearnMoreOnLink" t="s"/>
    <k n="División de administración 1 (estado/provincia/otro)" t="s"/>
  </s>
  <s>
    <k n="^Order" t="spba"/>
    <k n="TitleProperty" t="s"/>
    <k n="SubTitleProperty" t="s"/>
  </s>
  <s>
    <k n="ShowInCardView" t="b"/>
    <k n="ShowInDotNotation" t="b"/>
    <k n="ShowInAutoComplete" t="b"/>
  </s>
  <s>
    <k n="UniqueName" t="spb"/>
    <k n="VDPID/VSID" t="spb"/>
    <k n="LearnMoreOnLink" t="spb"/>
  </s>
  <s>
    <k n="Imagen" t="i"/>
    <k n="Nombre" t="i"/>
  </s>
  <s>
    <k n="link" t="s"/>
    <k n="logo" t="s"/>
    <k n="name" t="s"/>
  </s>
  <s>
    <k n="`Área" t="s"/>
    <k n="Población" t="s"/>
  </s>
  <s>
    <k n="_Self" t="i"/>
  </s>
  <s>
    <k n="`Área" t="spb"/>
    <k n="Nombre" t="spb"/>
    <k n="Latitud" t="spb"/>
    <k n="Longitud" t="spb"/>
    <k n="Población" t="spb"/>
    <k n="UniqueName" t="spb"/>
    <k n="Descripción" t="spb"/>
    <k n="País o región" t="spb"/>
    <k n="División de administración 1 (estado/provincia/otro)" t="spb"/>
    <k n="División de administración 2 (condado/distrito/otro)" t="spb"/>
  </s>
  <s>
    <k n="Área" t="s"/>
    <k n="Imagen" t="s"/>
    <k n="Nombre" t="s"/>
    <k n="Latitud" t="s"/>
    <k n="Longitud" t="s"/>
    <k n="Población" t="s"/>
    <k n="UniqueName" t="s"/>
    <k n="VDPID/VSID" t="s"/>
    <k n="Descripción" t="s"/>
    <k n="País o región" t="s"/>
    <k n="LearnMoreOnLink" t="s"/>
    <k n="División de administración 1 (estado/provincia/otro)" t="s"/>
    <k n="División de administración 2 (condado/distrito/otro)" t="s"/>
  </s>
  <s>
    <k n="Nombre" t="spb"/>
    <k n="Latitud" t="spb"/>
    <k n="Longitud" t="spb"/>
    <k n="Población" t="spb"/>
    <k n="UniqueName" t="spb"/>
    <k n="Descripción" t="spb"/>
    <k n="País o región" t="spb"/>
    <k n="División de administración 1 (estado/provincia/otro)" t="spb"/>
  </s>
  <s>
    <k n="Imagen" t="s"/>
    <k n="Nombre" t="s"/>
    <k n="Latitud" t="s"/>
    <k n="Longitud" t="s"/>
    <k n="Población" t="s"/>
    <k n="UniqueName" t="s"/>
    <k n="VDPID/VSID" t="s"/>
    <k n="Descripción" t="s"/>
    <k n="País o región" t="s"/>
    <k n="LearnMoreOnLink" t="s"/>
    <k n="División de administración 1 (estado/provincia/otro)" t="s"/>
  </s>
  <s>
    <k n="Población"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HeroField" t="b"/>
    <rPr n="IsTitleField" t="b"/>
    <rPr n="NumberFormat" t="s"/>
  </richProperties>
  <richStyles>
    <rSty>
      <rpv i="0">1</rpv>
    </rSty>
    <rSty>
      <rpv i="1">1</rpv>
    </rSty>
    <rSty dxfid="0">
      <rpv i="2">#,##0</rpv>
    </rSty>
    <rSty dxfid="1">
      <rpv i="2">0.0000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1ED1CF-1DC9-4B50-80EC-BCE8066F9AFB}" name="DatosHogar" displayName="DatosHogar" ref="C2:X169" totalsRowShown="0" headerRowDxfId="44" dataDxfId="42" headerRowBorderDxfId="43" tableBorderDxfId="41" totalsRowBorderDxfId="40">
  <autoFilter ref="C2:X169" xr:uid="{861ED1CF-1DC9-4B50-80EC-BCE8066F9AFB}"/>
  <tableColumns count="22">
    <tableColumn id="1" xr3:uid="{FF7CD40D-656D-4CDC-993A-13C9C7E8DB40}" name="Operador" dataDxfId="39"/>
    <tableColumn id="16" xr3:uid="{E9D94F91-8BF6-49E6-A3A2-E88FE2FF45B1}" name="Ciudad" dataDxfId="38"/>
    <tableColumn id="8" xr3:uid="{D1F876C0-AC94-4B1F-91B5-5A3775BB44FF}" name="Región" dataDxfId="37"/>
    <tableColumn id="15" xr3:uid="{B5A78C71-DB6D-4AC0-8BEE-0CDEAE1B87B2}" name="Red" dataDxfId="36"/>
    <tableColumn id="2" xr3:uid="{E587E3A6-5632-4643-9E7B-3F4949CD4EA6}" name="Segmento" dataDxfId="35"/>
    <tableColumn id="3" xr3:uid="{F1FCAC51-0C8A-4509-B884-CE1B7DD59C41}" name="Categoria" dataDxfId="34"/>
    <tableColumn id="4" xr3:uid="{3EBF3B60-25AA-4A31-BE4D-BB41A1C64E83}" name="Paquete" dataDxfId="33"/>
    <tableColumn id="5" xr3:uid="{74B4F29F-F3F9-46E3-81CC-CB5D263277F5}" name="Precio" dataDxfId="32" dataCellStyle="Moneda"/>
    <tableColumn id="6" xr3:uid="{D45E5B65-30B6-4227-BE3C-24DF66BAC258}" name="Campaña Expecifique la campaña o promoción, Tarifa especial, Descuentos. Etc" dataDxfId="31"/>
    <tableColumn id="21" xr3:uid="{6F3402AE-2B25-4095-8F66-1215CE0B2E0A}" name="Vigencia de la campaña o tarifa especial - especificar fecha de finalizacion o si aplica todo el mes" dataDxfId="30"/>
    <tableColumn id="7" xr3:uid="{88D66CA7-5A76-4130-AC82-7D1B0A02AB11}" name="Velocidad del @" dataDxfId="29"/>
    <tableColumn id="17" xr3:uid="{A79E6DB3-22F7-4A3E-A3D7-F97FD74948D8}" name="Tipo de TV" dataDxfId="28"/>
    <tableColumn id="18" xr3:uid="{37DC8FFA-2047-4B39-AF11-6A815D5A69C5}" name="Cantidad de canales" dataDxfId="27"/>
    <tableColumn id="9" xr3:uid="{5B4F8E0E-A515-44F1-8225-9AC586D83F9D}" name="Cantidad de Decos incluidos" dataDxfId="26">
      <calculatedColumnFormula>SUBSTITUTE(DatosHogar[[#This Row],[Observación]], "008 - Campaña Escarlata Exclusiva R2", " HD - 1 Deco Digital")</calculatedColumnFormula>
    </tableColumn>
    <tableColumn id="10" xr3:uid="{53108D44-6749-49BB-B472-90562B7E367F}" name="Valor Del Deco Adicional" dataDxfId="25"/>
    <tableColumn id="19" xr3:uid="{4F9F04B9-B308-4027-A30D-3676DD033BD3}" name="Tiene Cobro de Instalacion" dataDxfId="24"/>
    <tableColumn id="11" xr3:uid="{520A32CC-7109-402E-B079-32A8E8B3F970}" name="$ Cobro de Instalación" dataDxfId="23"/>
    <tableColumn id="20" xr3:uid="{5A5972DA-DDAF-4AFF-A912-C806CBD14BCD}" name="Cantidad de OTTS Incluidas" dataDxfId="22"/>
    <tableColumn id="12" xr3:uid="{B3EF5FFE-DEE2-400A-85D0-0E492B825657}" name="OTT Incluidas (Nombres de las OTT)" dataDxfId="21"/>
    <tableColumn id="13" xr3:uid="{CB3A5180-0005-4D12-9DF8-FA1D7C8C3278}" name="Valores Agregados" dataDxfId="20"/>
    <tableColumn id="22" xr3:uid="{EAB1A756-001F-4F1C-8AA2-B5EC19D0CF39}" name="Observación" dataDxfId="19"/>
    <tableColumn id="23" xr3:uid="{45263CE7-87ED-4B16-8C7D-7D759C958720}" name="Para que Canales de venta aplica" dataDxf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ABA2D8F-35C0-4F51-94C8-1518EFF79382}" name="DatosMovil" displayName="DatosMovil" ref="D2:P15" totalsRowShown="0" headerRowDxfId="17" dataDxfId="15" headerRowBorderDxfId="16" tableBorderDxfId="14" totalsRowBorderDxfId="13">
  <tableColumns count="13">
    <tableColumn id="1" xr3:uid="{CF549E60-6B27-4FF0-B35A-582D97615AFC}" name="Operador" dataDxfId="12"/>
    <tableColumn id="2" xr3:uid="{96E054A0-069E-4A9F-85F3-3A2F3FB35392}" name="CFM Con Impuesto Total Tarifa" dataDxfId="11"/>
    <tableColumn id="3" xr3:uid="{7A8122E5-E730-4342-ACA5-E81B2FE11660}" name="Campaña Oferta o Descuento" dataDxfId="10"/>
    <tableColumn id="4" xr3:uid="{884A5DB7-0406-4F98-BF90-E2D0015A153E}" name="Meses de Descuento" dataDxfId="9"/>
    <tableColumn id="5" xr3:uid="{B9FFA019-7FD7-46D0-8F0A-5DA5D942AC8E}" name="Cantidad de GB" dataDxfId="8"/>
    <tableColumn id="6" xr3:uid="{A1429B75-FAB6-4DF9-9B16-62C02F580F7C}" name="Cantidad de GB adicionales Promocionales" dataDxfId="7"/>
    <tableColumn id="7" xr3:uid="{2D75F87B-CE66-4A4C-8696-7A6A3D30838F}" name="Cantidad De Minutos" dataDxfId="6"/>
    <tableColumn id="8" xr3:uid="{B7B2EF8E-9902-4741-B6A8-D4B6DD31B3DC}" name="Cantidad SMS" dataDxfId="5"/>
    <tableColumn id="9" xr3:uid="{519105A8-C77D-4414-9C98-7D2D879D694A}" name="Minutos LDI Paises" dataDxfId="4"/>
    <tableColumn id="10" xr3:uid="{853CD00D-B0ED-4FBB-BF60-6354A7C58A0E}" name="Apps que se pueden seguir usando terminada la capacidad de navegación del plan" dataDxfId="3"/>
    <tableColumn id="11" xr3:uid="{DD5122D5-32EB-40D0-B585-E9EE3EE4CE33}" name="Valores Agregados" dataDxfId="2"/>
    <tableColumn id="12" xr3:uid="{6B64CE59-B987-4A25-9CB1-3878116A3E23}" name="OTTs Incluidas Nombre de la OTT" dataDxfId="1"/>
    <tableColumn id="13" xr3:uid="{0BD17DBB-BE86-4A60-BA12-F69B36F9BC03}" name="Observaciones" dataDxfId="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00D3D4-1897-4554-BE91-CCCBCB820765}" name="DatosMovil2" displayName="DatosMovil2" ref="A2:N69" totalsRowShown="0" headerRowDxfId="63" dataDxfId="61" headerRowBorderDxfId="62" tableBorderDxfId="60" totalsRowBorderDxfId="59">
  <autoFilter ref="A2:N69" xr:uid="{5ABA2D8F-35C0-4F51-94C8-1518EFF7938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39823734-4961-4D7A-A0F1-10EDBFE71FA8}" name="Fecha de Actualización" dataDxfId="58"/>
    <tableColumn id="2" xr3:uid="{B3A15449-22E3-4DCB-850D-278B3B4E9EB6}" name="Nombre de quien realiza la actualización" dataDxfId="57"/>
    <tableColumn id="3" xr3:uid="{0C0304CC-5FAC-4357-A01F-9A66FB4405AD}" name="Operador" dataDxfId="56"/>
    <tableColumn id="13" xr3:uid="{51F9DF6E-2F13-4A86-9DAB-C2D8402108D4}" name="Precio de la SIM" dataDxfId="55"/>
    <tableColumn id="15" xr3:uid="{561C326F-CE02-42EB-907C-8CD659810A26}" name="Precio de la Recarga" dataDxfId="54"/>
    <tableColumn id="4" xr3:uid="{219753E6-EEE1-4B1C-80B3-CB0FC389FDFA}" name="Paquete" dataDxfId="53"/>
    <tableColumn id="5" xr3:uid="{CD7898B4-7B3B-414E-81D1-0450100D4D65}" name="Días de Vigencia" dataDxfId="52"/>
    <tableColumn id="6" xr3:uid="{F1E32113-98EF-49CD-AD7B-1F984251FD4B}" name="Expecifica: Campañas Promociones o Bono de Bienvenida" dataDxfId="51"/>
    <tableColumn id="7" xr3:uid="{F95083B3-112B-45F7-A1D0-25989A8CB095}" name="Cantidad de GB" dataDxfId="50"/>
    <tableColumn id="11" xr3:uid="{FEEB8A9B-CA70-434D-B468-E7D743790F92}" name="Minutos LDI Paises (En caso que aplique, de no ser asi, poner N/A)" dataDxfId="49"/>
    <tableColumn id="12" xr3:uid="{97C57034-16F5-4CE0-B808-3B7491AB5497}" name="Apps que se pueden seguir usando terminada la capacidad de navegación del plan" dataDxfId="48"/>
    <tableColumn id="8" xr3:uid="{F72562EA-0A10-4548-B5D8-5AB6B7FBE62B}" name="Valores Agregados (En caso que aplique, de no ser asi, poner N/A)" dataDxfId="47"/>
    <tableColumn id="10" xr3:uid="{5128FACA-4054-4660-8C64-84CFC34622A7}" name="OTTs Incluidas Nombre de la OTT (En caso que aplique, de no ser asi, poner N/A)" dataDxfId="46"/>
    <tableColumn id="9" xr3:uid="{ACAFA11F-8FA9-4327-8D4D-DEF588C4238F}" name="Observaciones" dataDxfId="45"/>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F407A-0ECB-4D26-B6A2-6680CE948767}">
  <sheetPr>
    <tabColor rgb="FFFF0000"/>
  </sheetPr>
  <dimension ref="A1:N33"/>
  <sheetViews>
    <sheetView workbookViewId="0">
      <selection activeCell="H7" sqref="H7"/>
    </sheetView>
  </sheetViews>
  <sheetFormatPr baseColWidth="10" defaultColWidth="11.42578125" defaultRowHeight="15" x14ac:dyDescent="0.25"/>
  <cols>
    <col min="1" max="1" width="11.5703125" bestFit="1" customWidth="1"/>
    <col min="4" max="4" width="18.28515625" bestFit="1" customWidth="1"/>
    <col min="6" max="6" width="14.7109375" customWidth="1"/>
    <col min="11" max="11" width="11.42578125" style="1"/>
    <col min="12" max="13" width="27.5703125" customWidth="1"/>
    <col min="14" max="14" width="18.28515625" customWidth="1"/>
  </cols>
  <sheetData>
    <row r="1" spans="1:14" ht="45" x14ac:dyDescent="0.3">
      <c r="A1" s="5" t="s">
        <v>0</v>
      </c>
      <c r="B1" s="5" t="s">
        <v>1</v>
      </c>
      <c r="C1" s="5" t="s">
        <v>2</v>
      </c>
      <c r="D1" s="5" t="s">
        <v>3</v>
      </c>
      <c r="E1" s="5" t="s">
        <v>4</v>
      </c>
      <c r="F1" s="6" t="s">
        <v>5</v>
      </c>
      <c r="G1" s="7" t="s">
        <v>6</v>
      </c>
      <c r="H1" s="5" t="s">
        <v>7</v>
      </c>
      <c r="I1" s="5" t="s">
        <v>8</v>
      </c>
      <c r="J1" s="12" t="s">
        <v>9</v>
      </c>
      <c r="K1" s="6" t="s">
        <v>10</v>
      </c>
      <c r="L1" s="16" t="s">
        <v>11</v>
      </c>
      <c r="M1" s="17" t="s">
        <v>12</v>
      </c>
      <c r="N1" s="11" t="s">
        <v>13</v>
      </c>
    </row>
    <row r="2" spans="1:14" ht="16.5" x14ac:dyDescent="0.3">
      <c r="A2" t="s">
        <v>14</v>
      </c>
      <c r="B2" t="s">
        <v>15</v>
      </c>
      <c r="C2" t="s">
        <v>16</v>
      </c>
      <c r="D2" t="s">
        <v>17</v>
      </c>
      <c r="F2" s="1">
        <v>1</v>
      </c>
      <c r="G2" t="s">
        <v>18</v>
      </c>
      <c r="H2">
        <v>1</v>
      </c>
      <c r="I2" t="s">
        <v>14</v>
      </c>
      <c r="J2" t="s">
        <v>19</v>
      </c>
      <c r="K2" s="1">
        <v>1</v>
      </c>
      <c r="L2" s="18" t="s">
        <v>20</v>
      </c>
      <c r="M2" s="18" t="s">
        <v>20</v>
      </c>
      <c r="N2" t="s">
        <v>21</v>
      </c>
    </row>
    <row r="3" spans="1:14" ht="16.5" x14ac:dyDescent="0.3">
      <c r="A3" t="s">
        <v>22</v>
      </c>
      <c r="B3" t="s">
        <v>23</v>
      </c>
      <c r="D3" t="s">
        <v>24</v>
      </c>
      <c r="F3" s="1">
        <v>2</v>
      </c>
      <c r="G3" t="s">
        <v>25</v>
      </c>
      <c r="H3">
        <v>2</v>
      </c>
      <c r="I3" t="s">
        <v>22</v>
      </c>
      <c r="J3" t="s">
        <v>26</v>
      </c>
      <c r="K3" s="1">
        <v>2</v>
      </c>
      <c r="L3" s="18" t="s">
        <v>27</v>
      </c>
      <c r="M3" s="19" t="s">
        <v>28</v>
      </c>
      <c r="N3" t="s">
        <v>29</v>
      </c>
    </row>
    <row r="4" spans="1:14" ht="16.5" x14ac:dyDescent="0.3">
      <c r="A4" t="s">
        <v>30</v>
      </c>
      <c r="B4" t="s">
        <v>31</v>
      </c>
      <c r="D4" t="s">
        <v>32</v>
      </c>
      <c r="F4" s="1">
        <v>3</v>
      </c>
      <c r="H4">
        <v>3</v>
      </c>
      <c r="I4" t="s">
        <v>30</v>
      </c>
      <c r="J4" t="s">
        <v>33</v>
      </c>
      <c r="K4" s="1">
        <v>3</v>
      </c>
      <c r="L4" s="18" t="s">
        <v>34</v>
      </c>
      <c r="M4" s="19" t="s">
        <v>35</v>
      </c>
      <c r="N4" t="s">
        <v>36</v>
      </c>
    </row>
    <row r="5" spans="1:14" ht="33" x14ac:dyDescent="0.3">
      <c r="A5" t="s">
        <v>37</v>
      </c>
      <c r="D5" t="s">
        <v>38</v>
      </c>
      <c r="F5" s="1">
        <v>4</v>
      </c>
      <c r="H5">
        <v>4</v>
      </c>
      <c r="I5" t="s">
        <v>39</v>
      </c>
      <c r="K5" s="1">
        <v>4</v>
      </c>
      <c r="L5" s="18" t="s">
        <v>40</v>
      </c>
      <c r="M5" s="19" t="s">
        <v>41</v>
      </c>
      <c r="N5" t="s">
        <v>42</v>
      </c>
    </row>
    <row r="6" spans="1:14" ht="33" x14ac:dyDescent="0.3">
      <c r="A6" t="s">
        <v>43</v>
      </c>
      <c r="D6" t="s">
        <v>44</v>
      </c>
      <c r="F6" s="1">
        <v>5</v>
      </c>
      <c r="H6">
        <v>5</v>
      </c>
      <c r="I6" t="s">
        <v>45</v>
      </c>
      <c r="K6" s="1">
        <v>5</v>
      </c>
      <c r="L6" s="18" t="s">
        <v>46</v>
      </c>
      <c r="M6" s="19" t="s">
        <v>41</v>
      </c>
    </row>
    <row r="7" spans="1:14" ht="16.5" x14ac:dyDescent="0.3">
      <c r="A7" t="s">
        <v>47</v>
      </c>
      <c r="D7" t="s">
        <v>48</v>
      </c>
      <c r="K7" s="1">
        <v>6</v>
      </c>
      <c r="L7" s="18" t="s">
        <v>49</v>
      </c>
      <c r="M7" s="19" t="s">
        <v>28</v>
      </c>
    </row>
    <row r="8" spans="1:14" ht="33" x14ac:dyDescent="0.3">
      <c r="A8" t="s">
        <v>50</v>
      </c>
      <c r="K8" s="1">
        <v>7</v>
      </c>
      <c r="L8" s="18" t="s">
        <v>51</v>
      </c>
      <c r="M8" s="19" t="s">
        <v>41</v>
      </c>
    </row>
    <row r="9" spans="1:14" ht="16.5" x14ac:dyDescent="0.3">
      <c r="A9" t="s">
        <v>52</v>
      </c>
      <c r="K9" s="1">
        <v>8</v>
      </c>
      <c r="L9" s="18" t="s">
        <v>53</v>
      </c>
      <c r="M9" s="19" t="s">
        <v>28</v>
      </c>
      <c r="N9" t="s">
        <v>54</v>
      </c>
    </row>
    <row r="10" spans="1:14" ht="33" x14ac:dyDescent="0.3">
      <c r="A10" t="s">
        <v>55</v>
      </c>
      <c r="K10" s="1">
        <v>9</v>
      </c>
      <c r="L10" s="18" t="s">
        <v>56</v>
      </c>
      <c r="M10" s="19" t="s">
        <v>41</v>
      </c>
    </row>
    <row r="11" spans="1:14" ht="16.5" x14ac:dyDescent="0.3">
      <c r="A11" t="s">
        <v>57</v>
      </c>
      <c r="K11" s="1">
        <v>10</v>
      </c>
      <c r="L11" s="18" t="s">
        <v>58</v>
      </c>
      <c r="M11" s="19" t="s">
        <v>28</v>
      </c>
    </row>
    <row r="12" spans="1:14" ht="33" x14ac:dyDescent="0.3">
      <c r="A12" t="s">
        <v>59</v>
      </c>
      <c r="K12" s="1">
        <v>11</v>
      </c>
      <c r="L12" s="18" t="s">
        <v>60</v>
      </c>
      <c r="M12" s="19" t="s">
        <v>41</v>
      </c>
    </row>
    <row r="13" spans="1:14" ht="16.5" x14ac:dyDescent="0.3">
      <c r="K13" s="1">
        <v>12</v>
      </c>
      <c r="L13" s="18" t="s">
        <v>61</v>
      </c>
      <c r="M13" s="19" t="s">
        <v>28</v>
      </c>
    </row>
    <row r="14" spans="1:14" ht="33" x14ac:dyDescent="0.3">
      <c r="K14" s="1">
        <v>13</v>
      </c>
      <c r="L14" s="18" t="s">
        <v>62</v>
      </c>
      <c r="M14" s="19" t="s">
        <v>41</v>
      </c>
    </row>
    <row r="15" spans="1:14" ht="33" x14ac:dyDescent="0.3">
      <c r="K15" s="1">
        <v>14</v>
      </c>
      <c r="L15" s="18" t="s">
        <v>63</v>
      </c>
      <c r="M15" s="19" t="s">
        <v>41</v>
      </c>
    </row>
    <row r="16" spans="1:14" ht="33" x14ac:dyDescent="0.3">
      <c r="K16" s="1">
        <v>15</v>
      </c>
      <c r="L16" s="18" t="s">
        <v>64</v>
      </c>
      <c r="M16" s="19" t="s">
        <v>41</v>
      </c>
    </row>
    <row r="17" spans="11:13" ht="16.5" x14ac:dyDescent="0.3">
      <c r="K17" s="1">
        <v>16</v>
      </c>
      <c r="L17" s="18" t="s">
        <v>65</v>
      </c>
      <c r="M17" s="19" t="s">
        <v>28</v>
      </c>
    </row>
    <row r="18" spans="11:13" ht="33" x14ac:dyDescent="0.3">
      <c r="K18" s="1">
        <v>17</v>
      </c>
      <c r="L18" s="18" t="s">
        <v>66</v>
      </c>
      <c r="M18" s="19" t="s">
        <v>41</v>
      </c>
    </row>
    <row r="19" spans="11:13" ht="16.5" x14ac:dyDescent="0.3">
      <c r="K19" s="1">
        <v>18</v>
      </c>
      <c r="L19" s="18" t="s">
        <v>67</v>
      </c>
      <c r="M19" s="19" t="s">
        <v>28</v>
      </c>
    </row>
    <row r="20" spans="11:13" ht="33" x14ac:dyDescent="0.3">
      <c r="K20" s="1">
        <v>19</v>
      </c>
      <c r="L20" s="18" t="s">
        <v>68</v>
      </c>
      <c r="M20" s="19" t="s">
        <v>41</v>
      </c>
    </row>
    <row r="21" spans="11:13" ht="33" x14ac:dyDescent="0.3">
      <c r="K21" s="1">
        <v>20</v>
      </c>
      <c r="L21" s="18" t="s">
        <v>69</v>
      </c>
      <c r="M21" s="19" t="s">
        <v>41</v>
      </c>
    </row>
    <row r="22" spans="11:13" ht="16.5" x14ac:dyDescent="0.3">
      <c r="K22" s="1">
        <v>21</v>
      </c>
      <c r="L22" s="18" t="s">
        <v>70</v>
      </c>
      <c r="M22" s="19" t="s">
        <v>28</v>
      </c>
    </row>
    <row r="23" spans="11:13" ht="16.5" x14ac:dyDescent="0.3">
      <c r="K23" s="1">
        <v>22</v>
      </c>
      <c r="L23" s="18" t="s">
        <v>71</v>
      </c>
      <c r="M23" s="19" t="s">
        <v>28</v>
      </c>
    </row>
    <row r="24" spans="11:13" ht="16.5" x14ac:dyDescent="0.3">
      <c r="K24" s="1">
        <v>23</v>
      </c>
      <c r="L24" s="18" t="s">
        <v>72</v>
      </c>
      <c r="M24" s="19" t="s">
        <v>28</v>
      </c>
    </row>
    <row r="25" spans="11:13" ht="33" x14ac:dyDescent="0.3">
      <c r="K25" s="1">
        <v>24</v>
      </c>
      <c r="L25" s="18" t="s">
        <v>73</v>
      </c>
      <c r="M25" s="19" t="s">
        <v>41</v>
      </c>
    </row>
    <row r="26" spans="11:13" ht="33" x14ac:dyDescent="0.3">
      <c r="K26" s="1">
        <v>25</v>
      </c>
      <c r="L26" s="18" t="s">
        <v>74</v>
      </c>
      <c r="M26" s="19" t="s">
        <v>41</v>
      </c>
    </row>
    <row r="27" spans="11:13" ht="33" x14ac:dyDescent="0.3">
      <c r="K27" s="1">
        <v>26</v>
      </c>
      <c r="L27" s="18" t="s">
        <v>75</v>
      </c>
      <c r="M27" s="19" t="s">
        <v>41</v>
      </c>
    </row>
    <row r="28" spans="11:13" ht="16.5" x14ac:dyDescent="0.3">
      <c r="K28" s="1">
        <v>27</v>
      </c>
      <c r="L28" s="18" t="s">
        <v>76</v>
      </c>
      <c r="M28" s="19" t="s">
        <v>28</v>
      </c>
    </row>
    <row r="29" spans="11:13" ht="16.5" x14ac:dyDescent="0.3">
      <c r="K29" s="1">
        <v>28</v>
      </c>
      <c r="L29" s="18" t="s">
        <v>77</v>
      </c>
      <c r="M29" s="19" t="s">
        <v>28</v>
      </c>
    </row>
    <row r="30" spans="11:13" ht="16.5" x14ac:dyDescent="0.3">
      <c r="K30" s="1">
        <v>29</v>
      </c>
      <c r="L30" s="18" t="s">
        <v>78</v>
      </c>
      <c r="M30" s="19" t="s">
        <v>28</v>
      </c>
    </row>
    <row r="31" spans="11:13" ht="16.5" x14ac:dyDescent="0.3">
      <c r="K31" s="1">
        <v>30</v>
      </c>
      <c r="L31" s="18" t="s">
        <v>79</v>
      </c>
      <c r="M31" s="19" t="s">
        <v>28</v>
      </c>
    </row>
    <row r="32" spans="11:13" ht="16.5" x14ac:dyDescent="0.3">
      <c r="K32" s="1">
        <v>31</v>
      </c>
      <c r="L32" s="18" t="s">
        <v>80</v>
      </c>
      <c r="M32" s="19" t="s">
        <v>28</v>
      </c>
    </row>
    <row r="33" spans="11:13" x14ac:dyDescent="0.25">
      <c r="K33" s="1">
        <v>32</v>
      </c>
      <c r="L33" t="s">
        <v>81</v>
      </c>
      <c r="M33" t="s">
        <v>82</v>
      </c>
    </row>
  </sheetData>
  <sortState xmlns:xlrd2="http://schemas.microsoft.com/office/spreadsheetml/2017/richdata2" ref="N2:N4">
    <sortCondition ref="N2:N4"/>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66EC1-6DD8-447F-9B65-1D72FF122202}">
  <sheetPr codeName="Hoja1">
    <tabColor rgb="FFFFC000"/>
  </sheetPr>
  <dimension ref="A1:X169"/>
  <sheetViews>
    <sheetView zoomScaleNormal="100" workbookViewId="0">
      <pane ySplit="2" topLeftCell="A119" activePane="bottomLeft" state="frozen"/>
      <selection activeCell="A3" sqref="A3"/>
      <selection pane="bottomLeft" activeCell="J121" sqref="J121"/>
    </sheetView>
  </sheetViews>
  <sheetFormatPr baseColWidth="10" defaultColWidth="11.42578125" defaultRowHeight="15" x14ac:dyDescent="0.25"/>
  <cols>
    <col min="1" max="1" width="13.85546875" style="4" customWidth="1"/>
    <col min="2" max="2" width="25.28515625" style="4" customWidth="1"/>
    <col min="3" max="3" width="11.5703125" style="4" customWidth="1"/>
    <col min="4" max="4" width="14.5703125" style="4" customWidth="1"/>
    <col min="5" max="5" width="16.85546875" style="4" customWidth="1"/>
    <col min="6" max="6" width="11.5703125" style="4" customWidth="1"/>
    <col min="7" max="7" width="12.140625" style="4" bestFit="1" customWidth="1"/>
    <col min="8" max="8" width="19" style="4" customWidth="1"/>
    <col min="9" max="9" width="23.42578125" style="4" customWidth="1"/>
    <col min="10" max="10" width="9.5703125" style="29" bestFit="1" customWidth="1"/>
    <col min="11" max="11" width="41" style="4" customWidth="1"/>
    <col min="12" max="12" width="36.140625" style="4" customWidth="1"/>
    <col min="13" max="13" width="10.5703125" style="4" customWidth="1"/>
    <col min="14" max="14" width="17.28515625" style="4" customWidth="1"/>
    <col min="15" max="15" width="11.85546875" style="4" customWidth="1"/>
    <col min="16" max="16" width="19.85546875" style="4" customWidth="1"/>
    <col min="17" max="17" width="12.7109375" style="4" customWidth="1"/>
    <col min="18" max="18" width="13.28515625" style="29" customWidth="1"/>
    <col min="19" max="19" width="13.85546875" style="29" customWidth="1"/>
    <col min="20" max="20" width="15.140625" style="29" customWidth="1"/>
    <col min="21" max="21" width="22.7109375" style="29" customWidth="1"/>
    <col min="22" max="22" width="26.140625" style="4" customWidth="1"/>
    <col min="23" max="23" width="24.5703125" style="4" customWidth="1"/>
    <col min="24" max="24" width="20.140625" style="4" customWidth="1"/>
    <col min="25" max="16384" width="11.42578125" style="4"/>
  </cols>
  <sheetData>
    <row r="1" spans="1:24" ht="31.5" customHeight="1" x14ac:dyDescent="0.25">
      <c r="A1" s="80" t="s">
        <v>83</v>
      </c>
      <c r="B1" s="80"/>
      <c r="C1" s="80"/>
      <c r="D1" s="80"/>
      <c r="E1" s="80"/>
      <c r="F1" s="80"/>
      <c r="G1" s="80"/>
      <c r="H1" s="80"/>
      <c r="I1" s="80"/>
      <c r="J1" s="80"/>
      <c r="K1" s="80"/>
      <c r="L1" s="80"/>
      <c r="M1" s="80"/>
      <c r="N1" s="80"/>
      <c r="O1" s="80"/>
      <c r="P1" s="80"/>
      <c r="Q1" s="80"/>
      <c r="R1" s="80"/>
      <c r="S1" s="80"/>
      <c r="T1" s="80"/>
      <c r="U1" s="80"/>
      <c r="V1" s="80"/>
      <c r="W1" s="80"/>
      <c r="X1" s="80"/>
    </row>
    <row r="2" spans="1:24" ht="45" x14ac:dyDescent="0.25">
      <c r="A2" s="21" t="s">
        <v>84</v>
      </c>
      <c r="B2" s="21" t="s">
        <v>85</v>
      </c>
      <c r="C2" s="54" t="s">
        <v>0</v>
      </c>
      <c r="D2" s="54" t="s">
        <v>86</v>
      </c>
      <c r="E2" s="54" t="s">
        <v>87</v>
      </c>
      <c r="F2" s="54" t="s">
        <v>1</v>
      </c>
      <c r="G2" s="54" t="s">
        <v>2</v>
      </c>
      <c r="H2" s="54" t="s">
        <v>3</v>
      </c>
      <c r="I2" s="54" t="s">
        <v>4</v>
      </c>
      <c r="J2" s="55" t="s">
        <v>88</v>
      </c>
      <c r="K2" s="54" t="s">
        <v>464</v>
      </c>
      <c r="L2" s="54" t="s">
        <v>89</v>
      </c>
      <c r="M2" s="54" t="s">
        <v>90</v>
      </c>
      <c r="N2" s="54" t="s">
        <v>91</v>
      </c>
      <c r="O2" s="54" t="s">
        <v>92</v>
      </c>
      <c r="P2" s="54" t="s">
        <v>93</v>
      </c>
      <c r="Q2" s="55" t="s">
        <v>94</v>
      </c>
      <c r="R2" s="55" t="s">
        <v>95</v>
      </c>
      <c r="S2" s="55" t="s">
        <v>96</v>
      </c>
      <c r="T2" s="54" t="s">
        <v>7</v>
      </c>
      <c r="U2" s="54" t="s">
        <v>465</v>
      </c>
      <c r="V2" s="54" t="s">
        <v>97</v>
      </c>
      <c r="W2" s="54" t="s">
        <v>98</v>
      </c>
      <c r="X2" s="54" t="s">
        <v>13</v>
      </c>
    </row>
    <row r="3" spans="1:24" s="45" customFormat="1" ht="75.75" customHeight="1" x14ac:dyDescent="0.25">
      <c r="A3" s="43">
        <v>46087</v>
      </c>
      <c r="B3" s="44" t="s">
        <v>99</v>
      </c>
      <c r="C3" s="44" t="s">
        <v>14</v>
      </c>
      <c r="D3" s="44" t="s">
        <v>20</v>
      </c>
      <c r="E3" s="44" t="s">
        <v>20</v>
      </c>
      <c r="F3" s="44" t="s">
        <v>31</v>
      </c>
      <c r="G3" s="56" t="s">
        <v>16</v>
      </c>
      <c r="H3" s="56" t="s">
        <v>17</v>
      </c>
      <c r="I3" s="56" t="s">
        <v>100</v>
      </c>
      <c r="J3" s="57">
        <v>129900</v>
      </c>
      <c r="K3" s="56" t="s">
        <v>101</v>
      </c>
      <c r="L3" s="56" t="s">
        <v>102</v>
      </c>
      <c r="M3" s="56" t="s">
        <v>103</v>
      </c>
      <c r="N3" s="56" t="s">
        <v>104</v>
      </c>
      <c r="O3" s="56">
        <v>170</v>
      </c>
      <c r="P3" s="56" t="s">
        <v>105</v>
      </c>
      <c r="Q3" s="58">
        <v>6000</v>
      </c>
      <c r="R3" s="58" t="s">
        <v>18</v>
      </c>
      <c r="S3" s="58">
        <v>25000</v>
      </c>
      <c r="T3" s="59">
        <v>2</v>
      </c>
      <c r="U3" s="56" t="s">
        <v>106</v>
      </c>
      <c r="V3" s="56" t="s">
        <v>107</v>
      </c>
      <c r="W3" s="56" t="s">
        <v>108</v>
      </c>
      <c r="X3" s="56" t="s">
        <v>42</v>
      </c>
    </row>
    <row r="4" spans="1:24" s="45" customFormat="1" ht="75.75" customHeight="1" x14ac:dyDescent="0.25">
      <c r="A4" s="43">
        <v>46087</v>
      </c>
      <c r="B4" s="44" t="s">
        <v>99</v>
      </c>
      <c r="C4" s="44" t="s">
        <v>14</v>
      </c>
      <c r="D4" s="44" t="s">
        <v>20</v>
      </c>
      <c r="E4" s="44" t="s">
        <v>20</v>
      </c>
      <c r="F4" s="44" t="s">
        <v>31</v>
      </c>
      <c r="G4" s="56" t="s">
        <v>16</v>
      </c>
      <c r="H4" s="56" t="s">
        <v>32</v>
      </c>
      <c r="I4" s="56" t="s">
        <v>109</v>
      </c>
      <c r="J4" s="57">
        <v>119900</v>
      </c>
      <c r="K4" s="56" t="s">
        <v>101</v>
      </c>
      <c r="L4" s="56" t="s">
        <v>102</v>
      </c>
      <c r="M4" s="56" t="s">
        <v>103</v>
      </c>
      <c r="N4" s="56" t="s">
        <v>110</v>
      </c>
      <c r="O4" s="56">
        <v>97</v>
      </c>
      <c r="P4" s="56" t="s">
        <v>105</v>
      </c>
      <c r="Q4" s="58">
        <v>6000</v>
      </c>
      <c r="R4" s="58" t="s">
        <v>18</v>
      </c>
      <c r="S4" s="58">
        <v>25000</v>
      </c>
      <c r="T4" s="59">
        <v>2</v>
      </c>
      <c r="U4" s="56" t="s">
        <v>106</v>
      </c>
      <c r="V4" s="56" t="s">
        <v>107</v>
      </c>
      <c r="W4" s="56" t="s">
        <v>108</v>
      </c>
      <c r="X4" s="56" t="s">
        <v>42</v>
      </c>
    </row>
    <row r="5" spans="1:24" s="45" customFormat="1" ht="75.75" customHeight="1" x14ac:dyDescent="0.25">
      <c r="A5" s="43">
        <v>46087</v>
      </c>
      <c r="B5" s="44" t="s">
        <v>99</v>
      </c>
      <c r="C5" s="44" t="s">
        <v>14</v>
      </c>
      <c r="D5" s="44" t="s">
        <v>20</v>
      </c>
      <c r="E5" s="44" t="s">
        <v>20</v>
      </c>
      <c r="F5" s="44" t="s">
        <v>31</v>
      </c>
      <c r="G5" s="56" t="s">
        <v>16</v>
      </c>
      <c r="H5" s="56" t="s">
        <v>32</v>
      </c>
      <c r="I5" s="56" t="s">
        <v>109</v>
      </c>
      <c r="J5" s="57">
        <v>109900</v>
      </c>
      <c r="K5" s="56" t="s">
        <v>101</v>
      </c>
      <c r="L5" s="56" t="s">
        <v>102</v>
      </c>
      <c r="M5" s="56" t="s">
        <v>103</v>
      </c>
      <c r="N5" s="56" t="s">
        <v>110</v>
      </c>
      <c r="O5" s="56">
        <v>97</v>
      </c>
      <c r="P5" s="56" t="s">
        <v>105</v>
      </c>
      <c r="Q5" s="58">
        <v>6000</v>
      </c>
      <c r="R5" s="58" t="s">
        <v>18</v>
      </c>
      <c r="S5" s="58">
        <v>25000</v>
      </c>
      <c r="T5" s="58"/>
      <c r="U5" s="56" t="s">
        <v>111</v>
      </c>
      <c r="V5" s="56" t="s">
        <v>107</v>
      </c>
      <c r="W5" s="56" t="s">
        <v>108</v>
      </c>
      <c r="X5" s="56" t="s">
        <v>42</v>
      </c>
    </row>
    <row r="6" spans="1:24" s="45" customFormat="1" ht="75.75" customHeight="1" x14ac:dyDescent="0.25">
      <c r="A6" s="43">
        <v>46087</v>
      </c>
      <c r="B6" s="44" t="s">
        <v>99</v>
      </c>
      <c r="C6" s="44" t="s">
        <v>14</v>
      </c>
      <c r="D6" s="44" t="s">
        <v>20</v>
      </c>
      <c r="E6" s="44" t="s">
        <v>20</v>
      </c>
      <c r="F6" s="44" t="s">
        <v>31</v>
      </c>
      <c r="G6" s="56" t="s">
        <v>16</v>
      </c>
      <c r="H6" s="56" t="s">
        <v>32</v>
      </c>
      <c r="I6" s="56" t="s">
        <v>109</v>
      </c>
      <c r="J6" s="57">
        <v>104900</v>
      </c>
      <c r="K6" s="56" t="s">
        <v>112</v>
      </c>
      <c r="L6" s="56" t="s">
        <v>102</v>
      </c>
      <c r="M6" s="56" t="s">
        <v>103</v>
      </c>
      <c r="N6" s="56" t="s">
        <v>110</v>
      </c>
      <c r="O6" s="56">
        <v>97</v>
      </c>
      <c r="P6" s="56" t="s">
        <v>113</v>
      </c>
      <c r="Q6" s="58">
        <v>6000</v>
      </c>
      <c r="R6" s="58" t="s">
        <v>18</v>
      </c>
      <c r="S6" s="58">
        <v>25000</v>
      </c>
      <c r="T6" s="59">
        <v>1</v>
      </c>
      <c r="U6" s="56" t="s">
        <v>111</v>
      </c>
      <c r="V6" s="56" t="s">
        <v>114</v>
      </c>
      <c r="W6" s="56" t="s">
        <v>115</v>
      </c>
      <c r="X6" s="56" t="s">
        <v>42</v>
      </c>
    </row>
    <row r="7" spans="1:24" s="46" customFormat="1" ht="75.75" customHeight="1" x14ac:dyDescent="0.25">
      <c r="A7" s="43">
        <v>46087</v>
      </c>
      <c r="B7" s="44" t="s">
        <v>99</v>
      </c>
      <c r="C7" s="44" t="s">
        <v>14</v>
      </c>
      <c r="D7" s="44" t="s">
        <v>20</v>
      </c>
      <c r="E7" s="44" t="s">
        <v>20</v>
      </c>
      <c r="F7" s="44" t="s">
        <v>31</v>
      </c>
      <c r="G7" s="56" t="s">
        <v>16</v>
      </c>
      <c r="H7" s="56" t="s">
        <v>32</v>
      </c>
      <c r="I7" s="56" t="s">
        <v>109</v>
      </c>
      <c r="J7" s="57">
        <v>110900</v>
      </c>
      <c r="K7" s="56" t="s">
        <v>101</v>
      </c>
      <c r="L7" s="56" t="s">
        <v>102</v>
      </c>
      <c r="M7" s="56" t="s">
        <v>103</v>
      </c>
      <c r="N7" s="56" t="s">
        <v>110</v>
      </c>
      <c r="O7" s="56">
        <v>97</v>
      </c>
      <c r="P7" s="56" t="s">
        <v>105</v>
      </c>
      <c r="Q7" s="58">
        <v>6000</v>
      </c>
      <c r="R7" s="58" t="s">
        <v>18</v>
      </c>
      <c r="S7" s="58">
        <v>25000</v>
      </c>
      <c r="T7" s="59">
        <v>1</v>
      </c>
      <c r="U7" s="56" t="s">
        <v>111</v>
      </c>
      <c r="V7" s="56" t="s">
        <v>114</v>
      </c>
      <c r="W7" s="56" t="s">
        <v>108</v>
      </c>
      <c r="X7" s="56" t="s">
        <v>42</v>
      </c>
    </row>
    <row r="8" spans="1:24" s="45" customFormat="1" ht="75.75" customHeight="1" x14ac:dyDescent="0.25">
      <c r="A8" s="43">
        <v>46087</v>
      </c>
      <c r="B8" s="44" t="s">
        <v>99</v>
      </c>
      <c r="C8" s="44" t="s">
        <v>14</v>
      </c>
      <c r="D8" s="44" t="s">
        <v>20</v>
      </c>
      <c r="E8" s="44" t="s">
        <v>20</v>
      </c>
      <c r="F8" s="44" t="s">
        <v>31</v>
      </c>
      <c r="G8" s="56" t="s">
        <v>16</v>
      </c>
      <c r="H8" s="56" t="s">
        <v>32</v>
      </c>
      <c r="I8" s="56" t="s">
        <v>109</v>
      </c>
      <c r="J8" s="57">
        <v>115800</v>
      </c>
      <c r="K8" s="56" t="s">
        <v>101</v>
      </c>
      <c r="L8" s="56" t="s">
        <v>102</v>
      </c>
      <c r="M8" s="56" t="s">
        <v>103</v>
      </c>
      <c r="N8" s="56" t="s">
        <v>110</v>
      </c>
      <c r="O8" s="56">
        <v>97</v>
      </c>
      <c r="P8" s="56" t="s">
        <v>113</v>
      </c>
      <c r="Q8" s="58">
        <v>6000</v>
      </c>
      <c r="R8" s="58" t="s">
        <v>18</v>
      </c>
      <c r="S8" s="58">
        <v>25000</v>
      </c>
      <c r="T8" s="59">
        <v>1</v>
      </c>
      <c r="U8" s="56" t="s">
        <v>111</v>
      </c>
      <c r="V8" s="56" t="s">
        <v>114</v>
      </c>
      <c r="W8" s="56" t="s">
        <v>116</v>
      </c>
      <c r="X8" s="56" t="s">
        <v>42</v>
      </c>
    </row>
    <row r="9" spans="1:24" s="45" customFormat="1" ht="75.75" customHeight="1" x14ac:dyDescent="0.25">
      <c r="A9" s="43">
        <v>46087</v>
      </c>
      <c r="B9" s="44" t="s">
        <v>99</v>
      </c>
      <c r="C9" s="44" t="s">
        <v>14</v>
      </c>
      <c r="D9" s="44" t="s">
        <v>20</v>
      </c>
      <c r="E9" s="44" t="s">
        <v>20</v>
      </c>
      <c r="F9" s="44" t="s">
        <v>31</v>
      </c>
      <c r="G9" s="56" t="s">
        <v>16</v>
      </c>
      <c r="H9" s="56" t="s">
        <v>24</v>
      </c>
      <c r="I9" s="56" t="s">
        <v>117</v>
      </c>
      <c r="J9" s="57">
        <v>79900</v>
      </c>
      <c r="K9" s="56" t="s">
        <v>112</v>
      </c>
      <c r="L9" s="56" t="s">
        <v>102</v>
      </c>
      <c r="M9" s="56" t="s">
        <v>103</v>
      </c>
      <c r="N9" s="56"/>
      <c r="O9" s="56"/>
      <c r="P9" s="56"/>
      <c r="Q9" s="58"/>
      <c r="R9" s="58" t="s">
        <v>18</v>
      </c>
      <c r="S9" s="58">
        <v>52000</v>
      </c>
      <c r="T9" s="59"/>
      <c r="U9" s="56"/>
      <c r="V9" s="56" t="s">
        <v>118</v>
      </c>
      <c r="W9" s="56" t="s">
        <v>119</v>
      </c>
      <c r="X9" s="56" t="s">
        <v>42</v>
      </c>
    </row>
    <row r="10" spans="1:24" s="45" customFormat="1" ht="75.75" customHeight="1" x14ac:dyDescent="0.25">
      <c r="A10" s="43">
        <v>46087</v>
      </c>
      <c r="B10" s="44" t="s">
        <v>99</v>
      </c>
      <c r="C10" s="44" t="s">
        <v>14</v>
      </c>
      <c r="D10" s="44" t="s">
        <v>20</v>
      </c>
      <c r="E10" s="44" t="s">
        <v>20</v>
      </c>
      <c r="F10" s="44" t="s">
        <v>31</v>
      </c>
      <c r="G10" s="56" t="s">
        <v>16</v>
      </c>
      <c r="H10" s="56" t="s">
        <v>24</v>
      </c>
      <c r="I10" s="56" t="s">
        <v>120</v>
      </c>
      <c r="J10" s="57">
        <v>119900</v>
      </c>
      <c r="K10" s="56" t="s">
        <v>112</v>
      </c>
      <c r="L10" s="56" t="s">
        <v>102</v>
      </c>
      <c r="M10" s="56" t="s">
        <v>103</v>
      </c>
      <c r="N10" s="56"/>
      <c r="O10" s="56"/>
      <c r="P10" s="56"/>
      <c r="Q10" s="58"/>
      <c r="R10" s="58" t="s">
        <v>25</v>
      </c>
      <c r="S10" s="58"/>
      <c r="T10" s="59">
        <v>3</v>
      </c>
      <c r="U10" s="56" t="s">
        <v>121</v>
      </c>
      <c r="V10" s="56"/>
      <c r="W10" s="56" t="s">
        <v>122</v>
      </c>
      <c r="X10" s="56" t="s">
        <v>42</v>
      </c>
    </row>
    <row r="11" spans="1:24" s="45" customFormat="1" ht="75.75" customHeight="1" x14ac:dyDescent="0.25">
      <c r="A11" s="43">
        <v>46087</v>
      </c>
      <c r="B11" s="44" t="s">
        <v>99</v>
      </c>
      <c r="C11" s="44" t="s">
        <v>14</v>
      </c>
      <c r="D11" s="44" t="s">
        <v>20</v>
      </c>
      <c r="E11" s="44" t="s">
        <v>20</v>
      </c>
      <c r="F11" s="44" t="s">
        <v>31</v>
      </c>
      <c r="G11" s="56" t="s">
        <v>16</v>
      </c>
      <c r="H11" s="56" t="s">
        <v>17</v>
      </c>
      <c r="I11" s="56" t="s">
        <v>123</v>
      </c>
      <c r="J11" s="57">
        <v>99900</v>
      </c>
      <c r="K11" s="56" t="s">
        <v>112</v>
      </c>
      <c r="L11" s="56" t="s">
        <v>102</v>
      </c>
      <c r="M11" s="56" t="s">
        <v>103</v>
      </c>
      <c r="N11" s="56"/>
      <c r="O11" s="56"/>
      <c r="P11" s="56"/>
      <c r="Q11" s="58"/>
      <c r="R11" s="58" t="s">
        <v>25</v>
      </c>
      <c r="S11" s="58"/>
      <c r="T11" s="59">
        <v>2</v>
      </c>
      <c r="U11" s="56" t="s">
        <v>106</v>
      </c>
      <c r="V11" s="56" t="s">
        <v>114</v>
      </c>
      <c r="W11" s="56" t="s">
        <v>124</v>
      </c>
      <c r="X11" s="56" t="s">
        <v>42</v>
      </c>
    </row>
    <row r="12" spans="1:24" s="45" customFormat="1" ht="75.75" customHeight="1" x14ac:dyDescent="0.25">
      <c r="A12" s="43">
        <v>46087</v>
      </c>
      <c r="B12" s="44" t="s">
        <v>99</v>
      </c>
      <c r="C12" s="44" t="s">
        <v>14</v>
      </c>
      <c r="D12" s="44" t="s">
        <v>20</v>
      </c>
      <c r="E12" s="44" t="s">
        <v>20</v>
      </c>
      <c r="F12" s="44" t="s">
        <v>31</v>
      </c>
      <c r="G12" s="56" t="s">
        <v>16</v>
      </c>
      <c r="H12" s="56" t="s">
        <v>17</v>
      </c>
      <c r="I12" s="56" t="s">
        <v>125</v>
      </c>
      <c r="J12" s="57">
        <v>89900</v>
      </c>
      <c r="K12" s="56" t="s">
        <v>112</v>
      </c>
      <c r="L12" s="56" t="s">
        <v>102</v>
      </c>
      <c r="M12" s="56" t="s">
        <v>103</v>
      </c>
      <c r="N12" s="56"/>
      <c r="O12" s="56"/>
      <c r="P12" s="56"/>
      <c r="Q12" s="58"/>
      <c r="R12" s="58" t="s">
        <v>25</v>
      </c>
      <c r="S12" s="58"/>
      <c r="T12" s="59">
        <v>1</v>
      </c>
      <c r="U12" s="56" t="s">
        <v>111</v>
      </c>
      <c r="V12" s="56" t="s">
        <v>114</v>
      </c>
      <c r="W12" s="56" t="s">
        <v>124</v>
      </c>
      <c r="X12" s="56" t="s">
        <v>42</v>
      </c>
    </row>
    <row r="13" spans="1:24" s="45" customFormat="1" ht="75.75" customHeight="1" x14ac:dyDescent="0.25">
      <c r="A13" s="43">
        <v>46087</v>
      </c>
      <c r="B13" s="44" t="s">
        <v>99</v>
      </c>
      <c r="C13" s="44" t="s">
        <v>14</v>
      </c>
      <c r="D13" s="44" t="s">
        <v>20</v>
      </c>
      <c r="E13" s="44" t="s">
        <v>20</v>
      </c>
      <c r="F13" s="44" t="s">
        <v>31</v>
      </c>
      <c r="G13" s="56" t="s">
        <v>16</v>
      </c>
      <c r="H13" s="56" t="s">
        <v>17</v>
      </c>
      <c r="I13" s="56" t="s">
        <v>126</v>
      </c>
      <c r="J13" s="57">
        <v>74900</v>
      </c>
      <c r="K13" s="56" t="s">
        <v>112</v>
      </c>
      <c r="L13" s="56" t="s">
        <v>102</v>
      </c>
      <c r="M13" s="56" t="s">
        <v>103</v>
      </c>
      <c r="N13" s="56"/>
      <c r="O13" s="56"/>
      <c r="P13" s="56"/>
      <c r="Q13" s="58"/>
      <c r="R13" s="58" t="s">
        <v>127</v>
      </c>
      <c r="S13" s="58">
        <v>52000</v>
      </c>
      <c r="T13" s="59"/>
      <c r="U13" s="56"/>
      <c r="V13" s="56" t="s">
        <v>114</v>
      </c>
      <c r="W13" s="56" t="s">
        <v>128</v>
      </c>
      <c r="X13" s="56" t="s">
        <v>42</v>
      </c>
    </row>
    <row r="14" spans="1:24" s="45" customFormat="1" ht="75.75" customHeight="1" x14ac:dyDescent="0.25">
      <c r="A14" s="43">
        <v>46087</v>
      </c>
      <c r="B14" s="44" t="s">
        <v>99</v>
      </c>
      <c r="C14" s="44" t="s">
        <v>14</v>
      </c>
      <c r="D14" s="44" t="s">
        <v>20</v>
      </c>
      <c r="E14" s="44" t="s">
        <v>20</v>
      </c>
      <c r="F14" s="44" t="s">
        <v>31</v>
      </c>
      <c r="G14" s="56" t="s">
        <v>16</v>
      </c>
      <c r="H14" s="56" t="s">
        <v>17</v>
      </c>
      <c r="I14" s="56" t="s">
        <v>129</v>
      </c>
      <c r="J14" s="57">
        <v>59900</v>
      </c>
      <c r="K14" s="56" t="s">
        <v>112</v>
      </c>
      <c r="L14" s="56" t="s">
        <v>102</v>
      </c>
      <c r="M14" s="56" t="s">
        <v>130</v>
      </c>
      <c r="N14" s="56"/>
      <c r="O14" s="56"/>
      <c r="P14" s="56"/>
      <c r="Q14" s="58"/>
      <c r="R14" s="58" t="s">
        <v>127</v>
      </c>
      <c r="S14" s="58">
        <v>52000</v>
      </c>
      <c r="T14" s="59"/>
      <c r="U14" s="56"/>
      <c r="V14" s="56" t="s">
        <v>114</v>
      </c>
      <c r="W14" s="56" t="s">
        <v>131</v>
      </c>
      <c r="X14" s="56" t="s">
        <v>42</v>
      </c>
    </row>
    <row r="15" spans="1:24" s="45" customFormat="1" ht="75.75" customHeight="1" x14ac:dyDescent="0.25">
      <c r="A15" s="43">
        <v>46087</v>
      </c>
      <c r="B15" s="44" t="s">
        <v>99</v>
      </c>
      <c r="C15" s="44" t="s">
        <v>14</v>
      </c>
      <c r="D15" s="44" t="s">
        <v>20</v>
      </c>
      <c r="E15" s="44" t="s">
        <v>20</v>
      </c>
      <c r="F15" s="44" t="s">
        <v>31</v>
      </c>
      <c r="G15" s="56" t="s">
        <v>16</v>
      </c>
      <c r="H15" s="56" t="s">
        <v>17</v>
      </c>
      <c r="I15" s="56" t="s">
        <v>125</v>
      </c>
      <c r="J15" s="57">
        <v>73900</v>
      </c>
      <c r="K15" s="56" t="s">
        <v>112</v>
      </c>
      <c r="L15" s="56" t="s">
        <v>102</v>
      </c>
      <c r="M15" s="56" t="s">
        <v>130</v>
      </c>
      <c r="N15" s="56"/>
      <c r="O15" s="56"/>
      <c r="P15" s="56"/>
      <c r="Q15" s="58"/>
      <c r="R15" s="58"/>
      <c r="S15" s="58"/>
      <c r="T15" s="59">
        <v>1</v>
      </c>
      <c r="U15" s="56" t="s">
        <v>111</v>
      </c>
      <c r="V15" s="56" t="s">
        <v>114</v>
      </c>
      <c r="W15" s="56" t="s">
        <v>132</v>
      </c>
      <c r="X15" s="56" t="s">
        <v>42</v>
      </c>
    </row>
    <row r="16" spans="1:24" s="45" customFormat="1" ht="75.75" customHeight="1" x14ac:dyDescent="0.25">
      <c r="A16" s="43">
        <v>46091</v>
      </c>
      <c r="B16" s="44" t="s">
        <v>133</v>
      </c>
      <c r="C16" s="44" t="s">
        <v>22</v>
      </c>
      <c r="D16" s="44" t="s">
        <v>20</v>
      </c>
      <c r="E16" s="44" t="s">
        <v>20</v>
      </c>
      <c r="F16" s="44" t="s">
        <v>23</v>
      </c>
      <c r="G16" s="56" t="s">
        <v>16</v>
      </c>
      <c r="H16" s="56" t="s">
        <v>38</v>
      </c>
      <c r="I16" s="56" t="s">
        <v>134</v>
      </c>
      <c r="J16" s="57">
        <v>89900</v>
      </c>
      <c r="K16" s="56" t="s">
        <v>135</v>
      </c>
      <c r="L16" s="56" t="s">
        <v>136</v>
      </c>
      <c r="M16" s="56" t="s">
        <v>137</v>
      </c>
      <c r="N16" s="56" t="s">
        <v>138</v>
      </c>
      <c r="O16" s="56" t="s">
        <v>138</v>
      </c>
      <c r="P16" s="56" t="s">
        <v>138</v>
      </c>
      <c r="Q16" s="56" t="s">
        <v>138</v>
      </c>
      <c r="R16" s="56" t="s">
        <v>138</v>
      </c>
      <c r="S16" s="58">
        <v>0</v>
      </c>
      <c r="T16" s="56" t="s">
        <v>138</v>
      </c>
      <c r="U16" s="56" t="s">
        <v>138</v>
      </c>
      <c r="V16" s="56" t="s">
        <v>139</v>
      </c>
      <c r="W16" s="56" t="s">
        <v>140</v>
      </c>
      <c r="X16" s="56" t="s">
        <v>21</v>
      </c>
    </row>
    <row r="17" spans="1:24" s="45" customFormat="1" ht="75.75" customHeight="1" x14ac:dyDescent="0.25">
      <c r="A17" s="43">
        <v>46091</v>
      </c>
      <c r="B17" s="44" t="s">
        <v>133</v>
      </c>
      <c r="C17" s="44" t="s">
        <v>22</v>
      </c>
      <c r="D17" s="44" t="s">
        <v>20</v>
      </c>
      <c r="E17" s="44" t="s">
        <v>20</v>
      </c>
      <c r="F17" s="44" t="s">
        <v>23</v>
      </c>
      <c r="G17" s="56" t="s">
        <v>16</v>
      </c>
      <c r="H17" s="56" t="s">
        <v>48</v>
      </c>
      <c r="I17" s="56" t="s">
        <v>134</v>
      </c>
      <c r="J17" s="57">
        <v>119990</v>
      </c>
      <c r="K17" s="56" t="s">
        <v>135</v>
      </c>
      <c r="L17" s="56" t="s">
        <v>136</v>
      </c>
      <c r="M17" s="56" t="s">
        <v>137</v>
      </c>
      <c r="N17" s="56" t="s">
        <v>141</v>
      </c>
      <c r="O17" s="56" t="s">
        <v>142</v>
      </c>
      <c r="P17" s="56">
        <v>2</v>
      </c>
      <c r="Q17" s="56" t="s">
        <v>138</v>
      </c>
      <c r="R17" s="56" t="s">
        <v>138</v>
      </c>
      <c r="S17" s="58">
        <v>0</v>
      </c>
      <c r="T17" s="56" t="s">
        <v>138</v>
      </c>
      <c r="U17" s="56" t="s">
        <v>138</v>
      </c>
      <c r="V17" s="56" t="s">
        <v>139</v>
      </c>
      <c r="W17" s="56" t="s">
        <v>143</v>
      </c>
      <c r="X17" s="56" t="s">
        <v>21</v>
      </c>
    </row>
    <row r="18" spans="1:24" s="45" customFormat="1" ht="75.75" customHeight="1" x14ac:dyDescent="0.25">
      <c r="A18" s="43">
        <v>46092</v>
      </c>
      <c r="B18" s="44" t="s">
        <v>144</v>
      </c>
      <c r="C18" s="44" t="s">
        <v>30</v>
      </c>
      <c r="D18" s="44" t="s">
        <v>20</v>
      </c>
      <c r="E18" s="44" t="s">
        <v>20</v>
      </c>
      <c r="F18" s="44" t="s">
        <v>15</v>
      </c>
      <c r="G18" s="56" t="s">
        <v>16</v>
      </c>
      <c r="H18" s="56" t="s">
        <v>48</v>
      </c>
      <c r="I18" s="56" t="s">
        <v>134</v>
      </c>
      <c r="J18" s="57">
        <v>119900</v>
      </c>
      <c r="K18" s="56" t="s">
        <v>145</v>
      </c>
      <c r="L18" s="56" t="s">
        <v>146</v>
      </c>
      <c r="M18" s="56" t="s">
        <v>147</v>
      </c>
      <c r="N18" s="56" t="s">
        <v>148</v>
      </c>
      <c r="O18" s="56" t="s">
        <v>149</v>
      </c>
      <c r="P18" s="56">
        <v>2</v>
      </c>
      <c r="Q18" s="56"/>
      <c r="R18" s="58"/>
      <c r="S18" s="58"/>
      <c r="T18" s="59">
        <v>2</v>
      </c>
      <c r="U18" s="58" t="s">
        <v>150</v>
      </c>
      <c r="V18" s="56" t="s">
        <v>139</v>
      </c>
      <c r="W18" s="56"/>
      <c r="X18" s="56" t="s">
        <v>21</v>
      </c>
    </row>
    <row r="19" spans="1:24" s="45" customFormat="1" ht="75.75" customHeight="1" x14ac:dyDescent="0.25">
      <c r="A19" s="43">
        <v>46092</v>
      </c>
      <c r="B19" s="44" t="s">
        <v>144</v>
      </c>
      <c r="C19" s="44" t="s">
        <v>30</v>
      </c>
      <c r="D19" s="44" t="s">
        <v>20</v>
      </c>
      <c r="E19" s="44" t="s">
        <v>20</v>
      </c>
      <c r="F19" s="44" t="s">
        <v>15</v>
      </c>
      <c r="G19" s="56" t="s">
        <v>16</v>
      </c>
      <c r="H19" s="56" t="s">
        <v>38</v>
      </c>
      <c r="I19" s="56" t="s">
        <v>134</v>
      </c>
      <c r="J19" s="57">
        <v>89900</v>
      </c>
      <c r="K19" s="56" t="s">
        <v>145</v>
      </c>
      <c r="L19" s="56" t="s">
        <v>146</v>
      </c>
      <c r="M19" s="56" t="s">
        <v>151</v>
      </c>
      <c r="N19" s="56" t="s">
        <v>138</v>
      </c>
      <c r="O19" s="56" t="s">
        <v>138</v>
      </c>
      <c r="P19" s="56" t="s">
        <v>138</v>
      </c>
      <c r="Q19" s="56" t="s">
        <v>138</v>
      </c>
      <c r="R19" s="58"/>
      <c r="S19" s="58"/>
      <c r="T19" s="59">
        <v>1</v>
      </c>
      <c r="U19" s="58" t="s">
        <v>152</v>
      </c>
      <c r="V19" s="56" t="s">
        <v>139</v>
      </c>
      <c r="W19" s="56"/>
      <c r="X19" s="56" t="s">
        <v>21</v>
      </c>
    </row>
    <row r="20" spans="1:24" s="45" customFormat="1" ht="75.75" customHeight="1" x14ac:dyDescent="0.25">
      <c r="A20" s="43">
        <v>46092</v>
      </c>
      <c r="B20" s="44" t="s">
        <v>133</v>
      </c>
      <c r="C20" s="44" t="s">
        <v>30</v>
      </c>
      <c r="D20" s="44" t="s">
        <v>20</v>
      </c>
      <c r="E20" s="44" t="s">
        <v>20</v>
      </c>
      <c r="F20" s="44" t="s">
        <v>15</v>
      </c>
      <c r="G20" s="56" t="s">
        <v>16</v>
      </c>
      <c r="H20" s="56" t="s">
        <v>48</v>
      </c>
      <c r="I20" s="56" t="s">
        <v>134</v>
      </c>
      <c r="J20" s="57">
        <v>119900</v>
      </c>
      <c r="K20" s="56" t="s">
        <v>145</v>
      </c>
      <c r="L20" s="56"/>
      <c r="M20" s="56" t="s">
        <v>151</v>
      </c>
      <c r="N20" s="56" t="s">
        <v>148</v>
      </c>
      <c r="O20" s="56" t="s">
        <v>149</v>
      </c>
      <c r="P20" s="56">
        <v>2</v>
      </c>
      <c r="Q20" s="58"/>
      <c r="R20" s="58"/>
      <c r="S20" s="58"/>
      <c r="T20" s="59">
        <v>2</v>
      </c>
      <c r="U20" s="56" t="s">
        <v>150</v>
      </c>
      <c r="V20" s="56" t="s">
        <v>139</v>
      </c>
      <c r="W20" s="56"/>
      <c r="X20" s="56" t="s">
        <v>21</v>
      </c>
    </row>
    <row r="21" spans="1:24" s="45" customFormat="1" ht="75.75" customHeight="1" x14ac:dyDescent="0.25">
      <c r="A21" s="43">
        <v>46092</v>
      </c>
      <c r="B21" s="44" t="s">
        <v>133</v>
      </c>
      <c r="C21" s="44" t="s">
        <v>30</v>
      </c>
      <c r="D21" s="44" t="s">
        <v>20</v>
      </c>
      <c r="E21" s="44" t="s">
        <v>20</v>
      </c>
      <c r="F21" s="44" t="s">
        <v>15</v>
      </c>
      <c r="G21" s="56" t="s">
        <v>16</v>
      </c>
      <c r="H21" s="56" t="s">
        <v>38</v>
      </c>
      <c r="I21" s="56" t="s">
        <v>134</v>
      </c>
      <c r="J21" s="57">
        <v>89900</v>
      </c>
      <c r="K21" s="56" t="s">
        <v>145</v>
      </c>
      <c r="L21" s="56"/>
      <c r="M21" s="56" t="s">
        <v>151</v>
      </c>
      <c r="N21" s="56" t="s">
        <v>138</v>
      </c>
      <c r="O21" s="56" t="s">
        <v>138</v>
      </c>
      <c r="P21" s="56" t="s">
        <v>138</v>
      </c>
      <c r="Q21" s="58"/>
      <c r="R21" s="58"/>
      <c r="S21" s="58"/>
      <c r="T21" s="59">
        <v>1</v>
      </c>
      <c r="U21" s="56" t="s">
        <v>152</v>
      </c>
      <c r="V21" s="56" t="s">
        <v>139</v>
      </c>
      <c r="W21" s="56"/>
      <c r="X21" s="56" t="s">
        <v>21</v>
      </c>
    </row>
    <row r="22" spans="1:24" s="45" customFormat="1" ht="75.75" customHeight="1" x14ac:dyDescent="0.25">
      <c r="A22" s="43">
        <v>46092</v>
      </c>
      <c r="B22" s="44" t="s">
        <v>153</v>
      </c>
      <c r="C22" s="44" t="s">
        <v>30</v>
      </c>
      <c r="D22" s="44" t="s">
        <v>20</v>
      </c>
      <c r="E22" s="44" t="s">
        <v>20</v>
      </c>
      <c r="F22" s="44" t="s">
        <v>15</v>
      </c>
      <c r="G22" s="56" t="s">
        <v>16</v>
      </c>
      <c r="H22" s="56" t="s">
        <v>48</v>
      </c>
      <c r="I22" s="56" t="s">
        <v>134</v>
      </c>
      <c r="J22" s="57">
        <v>119900</v>
      </c>
      <c r="K22" s="56" t="s">
        <v>145</v>
      </c>
      <c r="L22" s="56" t="s">
        <v>146</v>
      </c>
      <c r="M22" s="56" t="s">
        <v>151</v>
      </c>
      <c r="N22" s="56" t="s">
        <v>148</v>
      </c>
      <c r="O22" s="56" t="s">
        <v>149</v>
      </c>
      <c r="P22" s="56">
        <v>2</v>
      </c>
      <c r="Q22" s="58"/>
      <c r="R22" s="58"/>
      <c r="S22" s="58"/>
      <c r="T22" s="59">
        <v>2</v>
      </c>
      <c r="U22" s="56" t="s">
        <v>150</v>
      </c>
      <c r="V22" s="56" t="s">
        <v>139</v>
      </c>
      <c r="W22" s="56"/>
      <c r="X22" s="56" t="s">
        <v>21</v>
      </c>
    </row>
    <row r="23" spans="1:24" s="45" customFormat="1" ht="75.75" customHeight="1" x14ac:dyDescent="0.25">
      <c r="A23" s="43">
        <v>46092</v>
      </c>
      <c r="B23" s="44" t="s">
        <v>153</v>
      </c>
      <c r="C23" s="44" t="s">
        <v>30</v>
      </c>
      <c r="D23" s="44" t="s">
        <v>20</v>
      </c>
      <c r="E23" s="44" t="s">
        <v>20</v>
      </c>
      <c r="F23" s="44" t="s">
        <v>15</v>
      </c>
      <c r="G23" s="56" t="s">
        <v>16</v>
      </c>
      <c r="H23" s="56" t="s">
        <v>38</v>
      </c>
      <c r="I23" s="56" t="s">
        <v>134</v>
      </c>
      <c r="J23" s="57">
        <v>89900</v>
      </c>
      <c r="K23" s="56" t="s">
        <v>145</v>
      </c>
      <c r="L23" s="56" t="s">
        <v>146</v>
      </c>
      <c r="M23" s="56" t="s">
        <v>151</v>
      </c>
      <c r="N23" s="56" t="s">
        <v>138</v>
      </c>
      <c r="O23" s="56" t="s">
        <v>138</v>
      </c>
      <c r="P23" s="56" t="s">
        <v>138</v>
      </c>
      <c r="Q23" s="58"/>
      <c r="R23" s="58"/>
      <c r="S23" s="58"/>
      <c r="T23" s="59">
        <v>1</v>
      </c>
      <c r="U23" s="56" t="s">
        <v>152</v>
      </c>
      <c r="V23" s="56" t="s">
        <v>139</v>
      </c>
      <c r="W23" s="56"/>
      <c r="X23" s="56" t="s">
        <v>21</v>
      </c>
    </row>
    <row r="24" spans="1:24" s="45" customFormat="1" ht="75.75" customHeight="1" x14ac:dyDescent="0.25">
      <c r="A24" s="43">
        <v>46092</v>
      </c>
      <c r="B24" s="44" t="s">
        <v>153</v>
      </c>
      <c r="C24" s="44" t="s">
        <v>22</v>
      </c>
      <c r="D24" s="44" t="s">
        <v>20</v>
      </c>
      <c r="E24" s="44" t="s">
        <v>20</v>
      </c>
      <c r="F24" s="44" t="s">
        <v>23</v>
      </c>
      <c r="G24" s="56" t="s">
        <v>16</v>
      </c>
      <c r="H24" s="56" t="s">
        <v>38</v>
      </c>
      <c r="I24" s="56" t="s">
        <v>134</v>
      </c>
      <c r="J24" s="57">
        <v>89900</v>
      </c>
      <c r="K24" s="56" t="s">
        <v>135</v>
      </c>
      <c r="L24" s="56" t="s">
        <v>136</v>
      </c>
      <c r="M24" s="56" t="s">
        <v>137</v>
      </c>
      <c r="N24" s="56" t="s">
        <v>138</v>
      </c>
      <c r="O24" s="56" t="s">
        <v>138</v>
      </c>
      <c r="P24" s="56" t="s">
        <v>138</v>
      </c>
      <c r="Q24" s="58"/>
      <c r="R24" s="58"/>
      <c r="S24" s="58"/>
      <c r="T24" s="59"/>
      <c r="U24" s="56" t="s">
        <v>138</v>
      </c>
      <c r="V24" s="56" t="s">
        <v>139</v>
      </c>
      <c r="W24" s="56" t="s">
        <v>140</v>
      </c>
      <c r="X24" s="56" t="s">
        <v>21</v>
      </c>
    </row>
    <row r="25" spans="1:24" s="45" customFormat="1" ht="75.75" customHeight="1" x14ac:dyDescent="0.25">
      <c r="A25" s="43">
        <v>46092</v>
      </c>
      <c r="B25" s="44" t="s">
        <v>153</v>
      </c>
      <c r="C25" s="44" t="s">
        <v>22</v>
      </c>
      <c r="D25" s="44" t="s">
        <v>20</v>
      </c>
      <c r="E25" s="44" t="s">
        <v>20</v>
      </c>
      <c r="F25" s="44" t="s">
        <v>23</v>
      </c>
      <c r="G25" s="56" t="s">
        <v>16</v>
      </c>
      <c r="H25" s="56" t="s">
        <v>48</v>
      </c>
      <c r="I25" s="56" t="s">
        <v>134</v>
      </c>
      <c r="J25" s="57">
        <v>119900</v>
      </c>
      <c r="K25" s="56" t="s">
        <v>135</v>
      </c>
      <c r="L25" s="56" t="s">
        <v>136</v>
      </c>
      <c r="M25" s="56" t="s">
        <v>137</v>
      </c>
      <c r="N25" s="56" t="s">
        <v>138</v>
      </c>
      <c r="O25" s="56" t="s">
        <v>142</v>
      </c>
      <c r="P25" s="56">
        <v>2</v>
      </c>
      <c r="Q25" s="58"/>
      <c r="R25" s="58"/>
      <c r="S25" s="58"/>
      <c r="T25" s="59"/>
      <c r="U25" s="56" t="s">
        <v>138</v>
      </c>
      <c r="V25" s="56" t="s">
        <v>139</v>
      </c>
      <c r="W25" s="56" t="s">
        <v>143</v>
      </c>
      <c r="X25" s="56" t="s">
        <v>21</v>
      </c>
    </row>
    <row r="26" spans="1:24" s="45" customFormat="1" ht="75.75" customHeight="1" x14ac:dyDescent="0.25">
      <c r="A26" s="43">
        <v>46092</v>
      </c>
      <c r="B26" s="44" t="s">
        <v>144</v>
      </c>
      <c r="C26" s="44" t="s">
        <v>22</v>
      </c>
      <c r="D26" s="44" t="s">
        <v>20</v>
      </c>
      <c r="E26" s="44" t="s">
        <v>20</v>
      </c>
      <c r="F26" s="44" t="s">
        <v>23</v>
      </c>
      <c r="G26" s="56" t="s">
        <v>16</v>
      </c>
      <c r="H26" s="56" t="s">
        <v>38</v>
      </c>
      <c r="I26" s="56" t="s">
        <v>134</v>
      </c>
      <c r="J26" s="57">
        <v>89900</v>
      </c>
      <c r="K26" s="56" t="s">
        <v>135</v>
      </c>
      <c r="L26" s="56" t="s">
        <v>136</v>
      </c>
      <c r="M26" s="56" t="s">
        <v>137</v>
      </c>
      <c r="N26" s="56" t="s">
        <v>138</v>
      </c>
      <c r="O26" s="56" t="s">
        <v>138</v>
      </c>
      <c r="P26" s="56" t="s">
        <v>138</v>
      </c>
      <c r="Q26" s="56" t="s">
        <v>138</v>
      </c>
      <c r="R26" s="56" t="s">
        <v>138</v>
      </c>
      <c r="S26" s="58">
        <v>0</v>
      </c>
      <c r="T26" s="56" t="s">
        <v>138</v>
      </c>
      <c r="U26" s="56" t="s">
        <v>138</v>
      </c>
      <c r="V26" s="56" t="s">
        <v>139</v>
      </c>
      <c r="W26" s="56" t="s">
        <v>140</v>
      </c>
      <c r="X26" s="56" t="s">
        <v>21</v>
      </c>
    </row>
    <row r="27" spans="1:24" s="45" customFormat="1" ht="75.75" customHeight="1" x14ac:dyDescent="0.25">
      <c r="A27" s="43">
        <v>46092</v>
      </c>
      <c r="B27" s="44" t="s">
        <v>144</v>
      </c>
      <c r="C27" s="44" t="s">
        <v>22</v>
      </c>
      <c r="D27" s="44" t="s">
        <v>20</v>
      </c>
      <c r="E27" s="44" t="s">
        <v>20</v>
      </c>
      <c r="F27" s="44" t="s">
        <v>23</v>
      </c>
      <c r="G27" s="56" t="s">
        <v>16</v>
      </c>
      <c r="H27" s="56" t="s">
        <v>48</v>
      </c>
      <c r="I27" s="56" t="s">
        <v>134</v>
      </c>
      <c r="J27" s="57">
        <v>119990</v>
      </c>
      <c r="K27" s="56" t="s">
        <v>135</v>
      </c>
      <c r="L27" s="56" t="s">
        <v>136</v>
      </c>
      <c r="M27" s="56" t="s">
        <v>137</v>
      </c>
      <c r="N27" s="56" t="s">
        <v>141</v>
      </c>
      <c r="O27" s="56" t="s">
        <v>142</v>
      </c>
      <c r="P27" s="56">
        <v>2</v>
      </c>
      <c r="Q27" s="56" t="s">
        <v>138</v>
      </c>
      <c r="R27" s="56" t="s">
        <v>138</v>
      </c>
      <c r="S27" s="58">
        <v>0</v>
      </c>
      <c r="T27" s="56" t="s">
        <v>138</v>
      </c>
      <c r="U27" s="56" t="s">
        <v>138</v>
      </c>
      <c r="V27" s="56" t="s">
        <v>139</v>
      </c>
      <c r="W27" s="56" t="s">
        <v>143</v>
      </c>
      <c r="X27" s="56" t="s">
        <v>21</v>
      </c>
    </row>
    <row r="28" spans="1:24" s="45" customFormat="1" ht="75.75" customHeight="1" x14ac:dyDescent="0.25">
      <c r="A28" s="43">
        <v>46092</v>
      </c>
      <c r="B28" s="44" t="s">
        <v>154</v>
      </c>
      <c r="C28" s="44" t="s">
        <v>47</v>
      </c>
      <c r="D28" s="44" t="e" vm="1">
        <v>#VALUE!</v>
      </c>
      <c r="E28" s="44" t="s">
        <v>41</v>
      </c>
      <c r="F28" s="44" t="s">
        <v>23</v>
      </c>
      <c r="G28" s="56" t="s">
        <v>16</v>
      </c>
      <c r="H28" s="56" t="s">
        <v>24</v>
      </c>
      <c r="I28" s="56" t="s">
        <v>155</v>
      </c>
      <c r="J28" s="57">
        <v>75000</v>
      </c>
      <c r="K28" s="56" t="s">
        <v>156</v>
      </c>
      <c r="L28" s="56"/>
      <c r="M28" s="56" t="s">
        <v>157</v>
      </c>
      <c r="N28" s="56" t="s">
        <v>158</v>
      </c>
      <c r="O28" s="56">
        <v>130</v>
      </c>
      <c r="P28" s="56">
        <v>1</v>
      </c>
      <c r="Q28" s="56" t="s">
        <v>138</v>
      </c>
      <c r="R28" s="56" t="s">
        <v>138</v>
      </c>
      <c r="S28" s="58">
        <v>0</v>
      </c>
      <c r="T28" s="56" t="s">
        <v>138</v>
      </c>
      <c r="U28" s="56" t="s">
        <v>138</v>
      </c>
      <c r="V28" s="56" t="s">
        <v>138</v>
      </c>
      <c r="W28" s="56" t="s">
        <v>156</v>
      </c>
      <c r="X28" s="56" t="s">
        <v>21</v>
      </c>
    </row>
    <row r="29" spans="1:24" s="45" customFormat="1" ht="75.75" customHeight="1" x14ac:dyDescent="0.25">
      <c r="A29" s="43">
        <v>46092</v>
      </c>
      <c r="B29" s="44" t="s">
        <v>133</v>
      </c>
      <c r="C29" s="44" t="s">
        <v>47</v>
      </c>
      <c r="D29" s="44" t="e" vm="2">
        <v>#VALUE!</v>
      </c>
      <c r="E29" s="44" t="s">
        <v>41</v>
      </c>
      <c r="F29" s="44" t="s">
        <v>23</v>
      </c>
      <c r="G29" s="56" t="s">
        <v>16</v>
      </c>
      <c r="H29" s="56" t="s">
        <v>24</v>
      </c>
      <c r="I29" s="56" t="s">
        <v>155</v>
      </c>
      <c r="J29" s="57">
        <v>75000</v>
      </c>
      <c r="K29" s="56" t="s">
        <v>156</v>
      </c>
      <c r="L29" s="56"/>
      <c r="M29" s="56" t="s">
        <v>157</v>
      </c>
      <c r="N29" s="56" t="s">
        <v>158</v>
      </c>
      <c r="O29" s="56">
        <v>130</v>
      </c>
      <c r="P29" s="56">
        <v>1</v>
      </c>
      <c r="Q29" s="56" t="s">
        <v>138</v>
      </c>
      <c r="R29" s="56" t="s">
        <v>138</v>
      </c>
      <c r="S29" s="58">
        <v>0</v>
      </c>
      <c r="T29" s="56" t="s">
        <v>138</v>
      </c>
      <c r="U29" s="56" t="s">
        <v>138</v>
      </c>
      <c r="V29" s="56" t="s">
        <v>138</v>
      </c>
      <c r="W29" s="56" t="s">
        <v>156</v>
      </c>
      <c r="X29" s="56" t="s">
        <v>21</v>
      </c>
    </row>
    <row r="30" spans="1:24" s="45" customFormat="1" ht="75.75" customHeight="1" x14ac:dyDescent="0.25">
      <c r="A30" s="43">
        <v>46092</v>
      </c>
      <c r="B30" s="44" t="s">
        <v>133</v>
      </c>
      <c r="C30" s="44" t="s">
        <v>47</v>
      </c>
      <c r="D30" s="44" t="e" vm="3">
        <v>#VALUE!</v>
      </c>
      <c r="E30" s="44" t="s">
        <v>41</v>
      </c>
      <c r="F30" s="44" t="s">
        <v>23</v>
      </c>
      <c r="G30" s="56" t="s">
        <v>16</v>
      </c>
      <c r="H30" s="56" t="s">
        <v>24</v>
      </c>
      <c r="I30" s="56" t="s">
        <v>155</v>
      </c>
      <c r="J30" s="57">
        <v>75000</v>
      </c>
      <c r="K30" s="56" t="s">
        <v>156</v>
      </c>
      <c r="L30" s="56"/>
      <c r="M30" s="56" t="s">
        <v>157</v>
      </c>
      <c r="N30" s="56" t="s">
        <v>158</v>
      </c>
      <c r="O30" s="56">
        <v>130</v>
      </c>
      <c r="P30" s="56">
        <v>1</v>
      </c>
      <c r="Q30" s="56" t="s">
        <v>138</v>
      </c>
      <c r="R30" s="56" t="s">
        <v>138</v>
      </c>
      <c r="S30" s="58">
        <v>0</v>
      </c>
      <c r="T30" s="56" t="s">
        <v>138</v>
      </c>
      <c r="U30" s="56" t="s">
        <v>138</v>
      </c>
      <c r="V30" s="56" t="s">
        <v>138</v>
      </c>
      <c r="W30" s="56" t="s">
        <v>156</v>
      </c>
      <c r="X30" s="56" t="s">
        <v>21</v>
      </c>
    </row>
    <row r="31" spans="1:24" s="45" customFormat="1" ht="75.75" customHeight="1" x14ac:dyDescent="0.25">
      <c r="A31" s="43">
        <v>46092</v>
      </c>
      <c r="B31" s="44" t="s">
        <v>154</v>
      </c>
      <c r="C31" s="44" t="s">
        <v>47</v>
      </c>
      <c r="D31" s="44" t="e" vm="1">
        <v>#VALUE!</v>
      </c>
      <c r="E31" s="44" t="s">
        <v>41</v>
      </c>
      <c r="F31" s="44" t="s">
        <v>23</v>
      </c>
      <c r="G31" s="56" t="s">
        <v>16</v>
      </c>
      <c r="H31" s="56" t="s">
        <v>32</v>
      </c>
      <c r="I31" s="56" t="s">
        <v>155</v>
      </c>
      <c r="J31" s="57">
        <v>160000</v>
      </c>
      <c r="K31" s="56" t="s">
        <v>156</v>
      </c>
      <c r="L31" s="56"/>
      <c r="M31" s="56" t="s">
        <v>159</v>
      </c>
      <c r="N31" s="56" t="s">
        <v>158</v>
      </c>
      <c r="O31" s="56">
        <v>130</v>
      </c>
      <c r="P31" s="56">
        <v>1</v>
      </c>
      <c r="Q31" s="56" t="s">
        <v>138</v>
      </c>
      <c r="R31" s="56" t="s">
        <v>138</v>
      </c>
      <c r="S31" s="58">
        <v>0</v>
      </c>
      <c r="T31" s="56" t="s">
        <v>138</v>
      </c>
      <c r="U31" s="56" t="s">
        <v>138</v>
      </c>
      <c r="V31" s="56" t="s">
        <v>138</v>
      </c>
      <c r="W31" s="56" t="s">
        <v>156</v>
      </c>
      <c r="X31" s="56" t="s">
        <v>21</v>
      </c>
    </row>
    <row r="32" spans="1:24" s="45" customFormat="1" ht="75.75" customHeight="1" x14ac:dyDescent="0.25">
      <c r="A32" s="43">
        <v>46092</v>
      </c>
      <c r="B32" s="44" t="s">
        <v>133</v>
      </c>
      <c r="C32" s="44" t="s">
        <v>47</v>
      </c>
      <c r="D32" s="44" t="e" vm="2">
        <v>#VALUE!</v>
      </c>
      <c r="E32" s="44" t="s">
        <v>41</v>
      </c>
      <c r="F32" s="44" t="s">
        <v>23</v>
      </c>
      <c r="G32" s="56" t="s">
        <v>16</v>
      </c>
      <c r="H32" s="56" t="s">
        <v>32</v>
      </c>
      <c r="I32" s="56" t="s">
        <v>155</v>
      </c>
      <c r="J32" s="57">
        <v>160000</v>
      </c>
      <c r="K32" s="56" t="s">
        <v>156</v>
      </c>
      <c r="L32" s="56"/>
      <c r="M32" s="56" t="s">
        <v>159</v>
      </c>
      <c r="N32" s="56" t="s">
        <v>158</v>
      </c>
      <c r="O32" s="56">
        <v>130</v>
      </c>
      <c r="P32" s="56">
        <v>1</v>
      </c>
      <c r="Q32" s="56" t="s">
        <v>138</v>
      </c>
      <c r="R32" s="56" t="s">
        <v>138</v>
      </c>
      <c r="S32" s="58">
        <v>0</v>
      </c>
      <c r="T32" s="56" t="s">
        <v>138</v>
      </c>
      <c r="U32" s="56" t="s">
        <v>138</v>
      </c>
      <c r="V32" s="56" t="s">
        <v>138</v>
      </c>
      <c r="W32" s="56" t="s">
        <v>156</v>
      </c>
      <c r="X32" s="56" t="s">
        <v>21</v>
      </c>
    </row>
    <row r="33" spans="1:24" s="45" customFormat="1" ht="75.75" customHeight="1" x14ac:dyDescent="0.25">
      <c r="A33" s="43">
        <v>46092</v>
      </c>
      <c r="B33" s="44" t="s">
        <v>133</v>
      </c>
      <c r="C33" s="44" t="s">
        <v>47</v>
      </c>
      <c r="D33" s="44" t="e" vm="3">
        <v>#VALUE!</v>
      </c>
      <c r="E33" s="44" t="s">
        <v>41</v>
      </c>
      <c r="F33" s="44" t="s">
        <v>23</v>
      </c>
      <c r="G33" s="56" t="s">
        <v>16</v>
      </c>
      <c r="H33" s="56" t="s">
        <v>32</v>
      </c>
      <c r="I33" s="56" t="s">
        <v>155</v>
      </c>
      <c r="J33" s="57">
        <v>160000</v>
      </c>
      <c r="K33" s="56" t="s">
        <v>156</v>
      </c>
      <c r="L33" s="56"/>
      <c r="M33" s="56" t="s">
        <v>159</v>
      </c>
      <c r="N33" s="56" t="s">
        <v>158</v>
      </c>
      <c r="O33" s="56">
        <v>130</v>
      </c>
      <c r="P33" s="56">
        <v>1</v>
      </c>
      <c r="Q33" s="56" t="s">
        <v>138</v>
      </c>
      <c r="R33" s="56" t="s">
        <v>138</v>
      </c>
      <c r="S33" s="58">
        <v>0</v>
      </c>
      <c r="T33" s="56" t="s">
        <v>138</v>
      </c>
      <c r="U33" s="56" t="s">
        <v>138</v>
      </c>
      <c r="V33" s="56" t="s">
        <v>138</v>
      </c>
      <c r="W33" s="56" t="s">
        <v>156</v>
      </c>
      <c r="X33" s="56" t="s">
        <v>21</v>
      </c>
    </row>
    <row r="34" spans="1:24" s="45" customFormat="1" ht="75.75" customHeight="1" x14ac:dyDescent="0.25">
      <c r="A34" s="43">
        <v>46092</v>
      </c>
      <c r="B34" s="44" t="s">
        <v>154</v>
      </c>
      <c r="C34" s="44" t="s">
        <v>47</v>
      </c>
      <c r="D34" s="44" t="e" vm="1">
        <v>#VALUE!</v>
      </c>
      <c r="E34" s="44" t="s">
        <v>41</v>
      </c>
      <c r="F34" s="44" t="s">
        <v>15</v>
      </c>
      <c r="G34" s="56" t="s">
        <v>16</v>
      </c>
      <c r="H34" s="56" t="s">
        <v>17</v>
      </c>
      <c r="I34" s="56" t="s">
        <v>160</v>
      </c>
      <c r="J34" s="57">
        <v>45000</v>
      </c>
      <c r="K34" s="56" t="s">
        <v>160</v>
      </c>
      <c r="L34" s="56"/>
      <c r="M34" s="56" t="s">
        <v>138</v>
      </c>
      <c r="N34" s="56" t="s">
        <v>160</v>
      </c>
      <c r="O34" s="56">
        <v>130</v>
      </c>
      <c r="P34" s="56">
        <v>1</v>
      </c>
      <c r="Q34" s="56" t="s">
        <v>138</v>
      </c>
      <c r="R34" s="56" t="s">
        <v>138</v>
      </c>
      <c r="S34" s="58">
        <v>0</v>
      </c>
      <c r="T34" s="56" t="s">
        <v>138</v>
      </c>
      <c r="U34" s="56" t="s">
        <v>138</v>
      </c>
      <c r="V34" s="56" t="s">
        <v>138</v>
      </c>
      <c r="W34" s="56" t="s">
        <v>160</v>
      </c>
      <c r="X34" s="56" t="s">
        <v>21</v>
      </c>
    </row>
    <row r="35" spans="1:24" s="45" customFormat="1" ht="75.75" customHeight="1" x14ac:dyDescent="0.25">
      <c r="A35" s="43">
        <v>46092</v>
      </c>
      <c r="B35" s="44" t="s">
        <v>133</v>
      </c>
      <c r="C35" s="44" t="s">
        <v>47</v>
      </c>
      <c r="D35" s="44" t="e" vm="2">
        <v>#VALUE!</v>
      </c>
      <c r="E35" s="44" t="s">
        <v>41</v>
      </c>
      <c r="F35" s="44" t="s">
        <v>15</v>
      </c>
      <c r="G35" s="56" t="s">
        <v>16</v>
      </c>
      <c r="H35" s="56" t="s">
        <v>17</v>
      </c>
      <c r="I35" s="56" t="s">
        <v>160</v>
      </c>
      <c r="J35" s="57">
        <v>45000</v>
      </c>
      <c r="K35" s="56" t="s">
        <v>160</v>
      </c>
      <c r="L35" s="56"/>
      <c r="M35" s="56" t="s">
        <v>138</v>
      </c>
      <c r="N35" s="56" t="s">
        <v>160</v>
      </c>
      <c r="O35" s="56">
        <v>130</v>
      </c>
      <c r="P35" s="56">
        <v>1</v>
      </c>
      <c r="Q35" s="56" t="s">
        <v>138</v>
      </c>
      <c r="R35" s="56" t="s">
        <v>138</v>
      </c>
      <c r="S35" s="58">
        <v>0</v>
      </c>
      <c r="T35" s="56" t="s">
        <v>138</v>
      </c>
      <c r="U35" s="56" t="s">
        <v>138</v>
      </c>
      <c r="V35" s="56" t="s">
        <v>138</v>
      </c>
      <c r="W35" s="56" t="s">
        <v>160</v>
      </c>
      <c r="X35" s="56" t="s">
        <v>21</v>
      </c>
    </row>
    <row r="36" spans="1:24" s="45" customFormat="1" ht="75.75" customHeight="1" x14ac:dyDescent="0.25">
      <c r="A36" s="43">
        <v>46092</v>
      </c>
      <c r="B36" s="44" t="s">
        <v>133</v>
      </c>
      <c r="C36" s="44" t="s">
        <v>47</v>
      </c>
      <c r="D36" s="44" t="e" vm="3">
        <v>#VALUE!</v>
      </c>
      <c r="E36" s="44" t="s">
        <v>41</v>
      </c>
      <c r="F36" s="44" t="s">
        <v>15</v>
      </c>
      <c r="G36" s="56" t="s">
        <v>16</v>
      </c>
      <c r="H36" s="56" t="s">
        <v>17</v>
      </c>
      <c r="I36" s="56" t="s">
        <v>160</v>
      </c>
      <c r="J36" s="57">
        <v>45000</v>
      </c>
      <c r="K36" s="56" t="s">
        <v>160</v>
      </c>
      <c r="L36" s="56"/>
      <c r="M36" s="56" t="s">
        <v>138</v>
      </c>
      <c r="N36" s="56" t="s">
        <v>160</v>
      </c>
      <c r="O36" s="56">
        <v>130</v>
      </c>
      <c r="P36" s="56">
        <v>1</v>
      </c>
      <c r="Q36" s="56" t="s">
        <v>138</v>
      </c>
      <c r="R36" s="56" t="s">
        <v>138</v>
      </c>
      <c r="S36" s="58">
        <v>0</v>
      </c>
      <c r="T36" s="56" t="s">
        <v>138</v>
      </c>
      <c r="U36" s="56" t="s">
        <v>138</v>
      </c>
      <c r="V36" s="56" t="s">
        <v>138</v>
      </c>
      <c r="W36" s="56" t="s">
        <v>160</v>
      </c>
      <c r="X36" s="56" t="s">
        <v>21</v>
      </c>
    </row>
    <row r="37" spans="1:24" s="45" customFormat="1" ht="75.75" customHeight="1" x14ac:dyDescent="0.25">
      <c r="A37" s="43">
        <v>46092</v>
      </c>
      <c r="B37" s="44" t="s">
        <v>154</v>
      </c>
      <c r="C37" s="44" t="s">
        <v>47</v>
      </c>
      <c r="D37" s="44" t="e" vm="1">
        <v>#VALUE!</v>
      </c>
      <c r="E37" s="44" t="s">
        <v>41</v>
      </c>
      <c r="F37" s="44" t="s">
        <v>23</v>
      </c>
      <c r="G37" s="56" t="s">
        <v>16</v>
      </c>
      <c r="H37" s="56" t="s">
        <v>24</v>
      </c>
      <c r="I37" s="56" t="s">
        <v>161</v>
      </c>
      <c r="J37" s="57">
        <v>40000</v>
      </c>
      <c r="K37" s="56" t="s">
        <v>155</v>
      </c>
      <c r="L37" s="56"/>
      <c r="M37" s="56" t="s">
        <v>162</v>
      </c>
      <c r="N37" s="56" t="s">
        <v>155</v>
      </c>
      <c r="O37" s="56">
        <v>80</v>
      </c>
      <c r="P37" s="56">
        <v>1</v>
      </c>
      <c r="Q37" s="56" t="s">
        <v>138</v>
      </c>
      <c r="R37" s="56" t="s">
        <v>138</v>
      </c>
      <c r="S37" s="58">
        <v>0</v>
      </c>
      <c r="T37" s="56" t="s">
        <v>138</v>
      </c>
      <c r="U37" s="56" t="s">
        <v>138</v>
      </c>
      <c r="V37" s="56" t="s">
        <v>138</v>
      </c>
      <c r="W37" s="56" t="s">
        <v>155</v>
      </c>
      <c r="X37" s="56" t="s">
        <v>21</v>
      </c>
    </row>
    <row r="38" spans="1:24" s="45" customFormat="1" ht="75.75" customHeight="1" x14ac:dyDescent="0.25">
      <c r="A38" s="43">
        <v>46092</v>
      </c>
      <c r="B38" s="44" t="s">
        <v>133</v>
      </c>
      <c r="C38" s="44" t="s">
        <v>47</v>
      </c>
      <c r="D38" s="44" t="e" vm="2">
        <v>#VALUE!</v>
      </c>
      <c r="E38" s="44" t="s">
        <v>41</v>
      </c>
      <c r="F38" s="44" t="s">
        <v>23</v>
      </c>
      <c r="G38" s="56" t="s">
        <v>16</v>
      </c>
      <c r="H38" s="56" t="s">
        <v>24</v>
      </c>
      <c r="I38" s="56" t="s">
        <v>163</v>
      </c>
      <c r="J38" s="57">
        <v>40000</v>
      </c>
      <c r="K38" s="56" t="s">
        <v>155</v>
      </c>
      <c r="L38" s="56"/>
      <c r="M38" s="56" t="s">
        <v>162</v>
      </c>
      <c r="N38" s="56" t="s">
        <v>155</v>
      </c>
      <c r="O38" s="56">
        <v>80</v>
      </c>
      <c r="P38" s="56">
        <v>1</v>
      </c>
      <c r="Q38" s="56" t="s">
        <v>138</v>
      </c>
      <c r="R38" s="56" t="s">
        <v>138</v>
      </c>
      <c r="S38" s="58">
        <v>0</v>
      </c>
      <c r="T38" s="56" t="s">
        <v>138</v>
      </c>
      <c r="U38" s="56" t="s">
        <v>138</v>
      </c>
      <c r="V38" s="56" t="s">
        <v>138</v>
      </c>
      <c r="W38" s="56" t="s">
        <v>155</v>
      </c>
      <c r="X38" s="56" t="s">
        <v>21</v>
      </c>
    </row>
    <row r="39" spans="1:24" s="45" customFormat="1" ht="75.75" customHeight="1" x14ac:dyDescent="0.25">
      <c r="A39" s="43">
        <v>46092</v>
      </c>
      <c r="B39" s="44" t="s">
        <v>133</v>
      </c>
      <c r="C39" s="44" t="s">
        <v>47</v>
      </c>
      <c r="D39" s="44" t="e" vm="3">
        <v>#VALUE!</v>
      </c>
      <c r="E39" s="44" t="s">
        <v>41</v>
      </c>
      <c r="F39" s="44" t="s">
        <v>23</v>
      </c>
      <c r="G39" s="56" t="s">
        <v>16</v>
      </c>
      <c r="H39" s="56" t="s">
        <v>24</v>
      </c>
      <c r="I39" s="56" t="s">
        <v>164</v>
      </c>
      <c r="J39" s="57">
        <v>40000</v>
      </c>
      <c r="K39" s="56" t="s">
        <v>155</v>
      </c>
      <c r="L39" s="56"/>
      <c r="M39" s="56" t="s">
        <v>162</v>
      </c>
      <c r="N39" s="56" t="s">
        <v>155</v>
      </c>
      <c r="O39" s="56">
        <v>80</v>
      </c>
      <c r="P39" s="56">
        <v>1</v>
      </c>
      <c r="Q39" s="56" t="s">
        <v>138</v>
      </c>
      <c r="R39" s="56" t="s">
        <v>138</v>
      </c>
      <c r="S39" s="58">
        <v>0</v>
      </c>
      <c r="T39" s="56" t="s">
        <v>138</v>
      </c>
      <c r="U39" s="56" t="s">
        <v>138</v>
      </c>
      <c r="V39" s="56" t="s">
        <v>138</v>
      </c>
      <c r="W39" s="56" t="s">
        <v>155</v>
      </c>
      <c r="X39" s="56" t="s">
        <v>21</v>
      </c>
    </row>
    <row r="40" spans="1:24" s="45" customFormat="1" ht="75.75" customHeight="1" x14ac:dyDescent="0.25">
      <c r="A40" s="43">
        <v>46092</v>
      </c>
      <c r="B40" s="44" t="s">
        <v>153</v>
      </c>
      <c r="C40" s="44" t="s">
        <v>47</v>
      </c>
      <c r="D40" s="44" t="e" vm="4">
        <v>#VALUE!</v>
      </c>
      <c r="E40" s="44" t="s">
        <v>41</v>
      </c>
      <c r="F40" s="44" t="s">
        <v>23</v>
      </c>
      <c r="G40" s="56" t="s">
        <v>16</v>
      </c>
      <c r="H40" s="56" t="s">
        <v>17</v>
      </c>
      <c r="I40" s="56" t="s">
        <v>165</v>
      </c>
      <c r="J40" s="57">
        <v>49900</v>
      </c>
      <c r="K40" s="56" t="s">
        <v>165</v>
      </c>
      <c r="L40" s="56"/>
      <c r="M40" s="56" t="s">
        <v>138</v>
      </c>
      <c r="N40" s="56" t="s">
        <v>165</v>
      </c>
      <c r="O40" s="56">
        <v>60</v>
      </c>
      <c r="P40" s="56">
        <v>1</v>
      </c>
      <c r="Q40" s="56" t="s">
        <v>138</v>
      </c>
      <c r="R40" s="56" t="s">
        <v>138</v>
      </c>
      <c r="S40" s="58">
        <v>0</v>
      </c>
      <c r="T40" s="56" t="s">
        <v>138</v>
      </c>
      <c r="U40" s="56" t="s">
        <v>138</v>
      </c>
      <c r="V40" s="56" t="s">
        <v>138</v>
      </c>
      <c r="W40" s="56" t="s">
        <v>165</v>
      </c>
      <c r="X40" s="56" t="s">
        <v>21</v>
      </c>
    </row>
    <row r="41" spans="1:24" s="45" customFormat="1" ht="75.75" customHeight="1" x14ac:dyDescent="0.25">
      <c r="A41" s="43">
        <v>46092</v>
      </c>
      <c r="B41" s="44" t="s">
        <v>153</v>
      </c>
      <c r="C41" s="44" t="s">
        <v>47</v>
      </c>
      <c r="D41" s="44" t="e" vm="4">
        <v>#VALUE!</v>
      </c>
      <c r="E41" s="44" t="s">
        <v>41</v>
      </c>
      <c r="F41" s="44" t="s">
        <v>23</v>
      </c>
      <c r="G41" s="56" t="s">
        <v>16</v>
      </c>
      <c r="H41" s="56" t="s">
        <v>24</v>
      </c>
      <c r="I41" s="56" t="s">
        <v>155</v>
      </c>
      <c r="J41" s="57">
        <v>79900</v>
      </c>
      <c r="K41" s="56" t="s">
        <v>155</v>
      </c>
      <c r="L41" s="56"/>
      <c r="M41" s="56" t="s">
        <v>166</v>
      </c>
      <c r="N41" s="56" t="s">
        <v>155</v>
      </c>
      <c r="O41" s="56">
        <v>80</v>
      </c>
      <c r="P41" s="56">
        <v>1</v>
      </c>
      <c r="Q41" s="56" t="s">
        <v>138</v>
      </c>
      <c r="R41" s="56" t="s">
        <v>138</v>
      </c>
      <c r="S41" s="58">
        <v>0</v>
      </c>
      <c r="T41" s="56" t="s">
        <v>138</v>
      </c>
      <c r="U41" s="56" t="s">
        <v>138</v>
      </c>
      <c r="V41" s="56" t="s">
        <v>138</v>
      </c>
      <c r="W41" s="56" t="s">
        <v>155</v>
      </c>
      <c r="X41" s="56" t="s">
        <v>21</v>
      </c>
    </row>
    <row r="42" spans="1:24" s="45" customFormat="1" ht="75.75" customHeight="1" x14ac:dyDescent="0.25">
      <c r="A42" s="43">
        <v>46092</v>
      </c>
      <c r="B42" s="44" t="s">
        <v>167</v>
      </c>
      <c r="C42" s="44" t="s">
        <v>47</v>
      </c>
      <c r="D42" s="44" t="e" vm="5">
        <v>#VALUE!</v>
      </c>
      <c r="E42" s="44" t="s">
        <v>41</v>
      </c>
      <c r="F42" s="44" t="s">
        <v>15</v>
      </c>
      <c r="G42" s="56" t="s">
        <v>16</v>
      </c>
      <c r="H42" s="56" t="s">
        <v>17</v>
      </c>
      <c r="I42" s="56" t="s">
        <v>165</v>
      </c>
      <c r="J42" s="57">
        <v>31000</v>
      </c>
      <c r="K42" s="56" t="s">
        <v>165</v>
      </c>
      <c r="L42" s="56"/>
      <c r="M42" s="56" t="s">
        <v>138</v>
      </c>
      <c r="N42" s="56" t="s">
        <v>165</v>
      </c>
      <c r="O42" s="56">
        <v>80</v>
      </c>
      <c r="P42" s="56">
        <v>1</v>
      </c>
      <c r="Q42" s="56" t="s">
        <v>138</v>
      </c>
      <c r="R42" s="56" t="s">
        <v>138</v>
      </c>
      <c r="S42" s="58">
        <v>0</v>
      </c>
      <c r="T42" s="56" t="s">
        <v>138</v>
      </c>
      <c r="U42" s="56" t="s">
        <v>138</v>
      </c>
      <c r="V42" s="56" t="s">
        <v>138</v>
      </c>
      <c r="W42" s="56" t="s">
        <v>165</v>
      </c>
      <c r="X42" s="56" t="s">
        <v>21</v>
      </c>
    </row>
    <row r="43" spans="1:24" s="45" customFormat="1" ht="75.75" customHeight="1" x14ac:dyDescent="0.25">
      <c r="A43" s="43">
        <v>46091</v>
      </c>
      <c r="B43" s="47" t="s">
        <v>168</v>
      </c>
      <c r="C43" s="44" t="s">
        <v>47</v>
      </c>
      <c r="D43" s="44" t="e" vm="6">
        <v>#VALUE!</v>
      </c>
      <c r="E43" s="44" t="s">
        <v>28</v>
      </c>
      <c r="F43" s="44" t="s">
        <v>23</v>
      </c>
      <c r="G43" s="56" t="s">
        <v>16</v>
      </c>
      <c r="H43" s="56" t="s">
        <v>24</v>
      </c>
      <c r="I43" s="56"/>
      <c r="J43" s="57">
        <v>84000</v>
      </c>
      <c r="K43" s="56" t="s">
        <v>169</v>
      </c>
      <c r="L43" s="56" t="s">
        <v>170</v>
      </c>
      <c r="M43" s="56">
        <v>200</v>
      </c>
      <c r="N43" s="56" t="s">
        <v>171</v>
      </c>
      <c r="O43" s="56">
        <v>120</v>
      </c>
      <c r="P43" s="56" t="s">
        <v>172</v>
      </c>
      <c r="Q43" s="58"/>
      <c r="R43" s="58" t="s">
        <v>173</v>
      </c>
      <c r="S43" s="58">
        <v>50000</v>
      </c>
      <c r="T43" s="58"/>
      <c r="U43" s="56" t="s">
        <v>138</v>
      </c>
      <c r="V43" s="56"/>
      <c r="W43" s="56" t="s">
        <v>174</v>
      </c>
      <c r="X43" s="56" t="s">
        <v>175</v>
      </c>
    </row>
    <row r="44" spans="1:24" s="45" customFormat="1" ht="75.75" customHeight="1" x14ac:dyDescent="0.25">
      <c r="A44" s="43">
        <v>46091</v>
      </c>
      <c r="B44" s="47" t="s">
        <v>168</v>
      </c>
      <c r="C44" s="44" t="s">
        <v>43</v>
      </c>
      <c r="D44" s="44" t="e" vm="6">
        <v>#VALUE!</v>
      </c>
      <c r="E44" s="44" t="s">
        <v>28</v>
      </c>
      <c r="F44" s="44" t="s">
        <v>23</v>
      </c>
      <c r="G44" s="56" t="s">
        <v>16</v>
      </c>
      <c r="H44" s="56" t="s">
        <v>24</v>
      </c>
      <c r="I44" s="56"/>
      <c r="J44" s="57">
        <v>84000</v>
      </c>
      <c r="K44" s="56" t="s">
        <v>176</v>
      </c>
      <c r="L44" s="56" t="s">
        <v>170</v>
      </c>
      <c r="M44" s="56">
        <v>400</v>
      </c>
      <c r="N44" s="56" t="s">
        <v>171</v>
      </c>
      <c r="O44" s="56">
        <v>109</v>
      </c>
      <c r="P44" s="56" t="str">
        <f>SUBSTITUTE(DatosHogar[[#This Row],[Observación]], "008 - Campaña Escarlata Exclusiva R2", " HD - 1 Deco Digital")</f>
        <v xml:space="preserve">Da hasta 5 puntos en la instalcion </v>
      </c>
      <c r="Q44" s="58"/>
      <c r="R44" s="58" t="s">
        <v>25</v>
      </c>
      <c r="S44" s="58"/>
      <c r="T44" s="58">
        <v>2</v>
      </c>
      <c r="U44" s="56" t="s">
        <v>177</v>
      </c>
      <c r="V44" s="56" t="s">
        <v>178</v>
      </c>
      <c r="W44" s="56" t="s">
        <v>179</v>
      </c>
      <c r="X44" s="56" t="s">
        <v>21</v>
      </c>
    </row>
    <row r="45" spans="1:24" s="45" customFormat="1" ht="75.75" customHeight="1" x14ac:dyDescent="0.25">
      <c r="A45" s="43">
        <v>46091</v>
      </c>
      <c r="B45" s="47" t="s">
        <v>168</v>
      </c>
      <c r="C45" s="44" t="s">
        <v>43</v>
      </c>
      <c r="D45" s="44" t="e" vm="6">
        <v>#VALUE!</v>
      </c>
      <c r="E45" s="44" t="s">
        <v>28</v>
      </c>
      <c r="F45" s="44" t="s">
        <v>23</v>
      </c>
      <c r="G45" s="56" t="s">
        <v>16</v>
      </c>
      <c r="H45" s="56" t="s">
        <v>24</v>
      </c>
      <c r="I45" s="56"/>
      <c r="J45" s="57">
        <v>73000</v>
      </c>
      <c r="K45" s="56" t="s">
        <v>176</v>
      </c>
      <c r="L45" s="56" t="s">
        <v>170</v>
      </c>
      <c r="M45" s="56">
        <v>200</v>
      </c>
      <c r="N45" s="56" t="s">
        <v>171</v>
      </c>
      <c r="O45" s="56">
        <v>109</v>
      </c>
      <c r="P45" s="56" t="s">
        <v>138</v>
      </c>
      <c r="Q45" s="58">
        <v>0</v>
      </c>
      <c r="R45" s="58" t="s">
        <v>25</v>
      </c>
      <c r="S45" s="58"/>
      <c r="T45" s="58">
        <v>2</v>
      </c>
      <c r="U45" s="56" t="s">
        <v>177</v>
      </c>
      <c r="V45" s="56" t="s">
        <v>178</v>
      </c>
      <c r="W45" s="56" t="s">
        <v>179</v>
      </c>
      <c r="X45" s="56" t="s">
        <v>175</v>
      </c>
    </row>
    <row r="46" spans="1:24" s="45" customFormat="1" ht="75.75" customHeight="1" x14ac:dyDescent="0.25">
      <c r="A46" s="43">
        <v>46092</v>
      </c>
      <c r="B46" s="44" t="s">
        <v>180</v>
      </c>
      <c r="C46" s="44" t="s">
        <v>22</v>
      </c>
      <c r="D46" s="44" t="s">
        <v>20</v>
      </c>
      <c r="E46" s="44" t="s">
        <v>20</v>
      </c>
      <c r="F46" s="44" t="s">
        <v>23</v>
      </c>
      <c r="G46" s="56" t="s">
        <v>16</v>
      </c>
      <c r="H46" s="56" t="s">
        <v>38</v>
      </c>
      <c r="I46" s="56" t="s">
        <v>134</v>
      </c>
      <c r="J46" s="57">
        <v>89900</v>
      </c>
      <c r="K46" s="56" t="s">
        <v>181</v>
      </c>
      <c r="L46" s="56" t="s">
        <v>182</v>
      </c>
      <c r="M46" s="56" t="s">
        <v>137</v>
      </c>
      <c r="N46" s="56" t="s">
        <v>138</v>
      </c>
      <c r="O46" s="56" t="s">
        <v>138</v>
      </c>
      <c r="P46" s="56" t="s">
        <v>138</v>
      </c>
      <c r="Q46" s="56">
        <v>0</v>
      </c>
      <c r="R46" s="58">
        <v>0</v>
      </c>
      <c r="S46" s="58">
        <v>0</v>
      </c>
      <c r="T46" s="58" t="s">
        <v>138</v>
      </c>
      <c r="U46" s="58" t="s">
        <v>138</v>
      </c>
      <c r="V46" s="56" t="s">
        <v>139</v>
      </c>
      <c r="W46" s="56"/>
      <c r="X46" s="56" t="s">
        <v>21</v>
      </c>
    </row>
    <row r="47" spans="1:24" s="45" customFormat="1" ht="75.75" customHeight="1" x14ac:dyDescent="0.25">
      <c r="A47" s="43">
        <v>46092</v>
      </c>
      <c r="B47" s="44" t="s">
        <v>180</v>
      </c>
      <c r="C47" s="44" t="s">
        <v>22</v>
      </c>
      <c r="D47" s="44" t="s">
        <v>20</v>
      </c>
      <c r="E47" s="44" t="s">
        <v>20</v>
      </c>
      <c r="F47" s="44" t="s">
        <v>23</v>
      </c>
      <c r="G47" s="56" t="s">
        <v>16</v>
      </c>
      <c r="H47" s="56" t="s">
        <v>48</v>
      </c>
      <c r="I47" s="56" t="s">
        <v>134</v>
      </c>
      <c r="J47" s="57">
        <v>109900</v>
      </c>
      <c r="K47" s="56" t="s">
        <v>183</v>
      </c>
      <c r="L47" s="56" t="s">
        <v>182</v>
      </c>
      <c r="M47" s="56" t="s">
        <v>137</v>
      </c>
      <c r="N47" s="56" t="s">
        <v>184</v>
      </c>
      <c r="O47" s="56" t="s">
        <v>185</v>
      </c>
      <c r="P47" s="56">
        <v>2</v>
      </c>
      <c r="Q47" s="60">
        <v>15500</v>
      </c>
      <c r="R47" s="58">
        <v>0</v>
      </c>
      <c r="S47" s="58">
        <v>0</v>
      </c>
      <c r="T47" s="58">
        <v>0</v>
      </c>
      <c r="U47" s="58">
        <v>0</v>
      </c>
      <c r="V47" s="56" t="s">
        <v>139</v>
      </c>
      <c r="W47" s="56"/>
      <c r="X47" s="56" t="s">
        <v>21</v>
      </c>
    </row>
    <row r="48" spans="1:24" s="45" customFormat="1" ht="75.75" customHeight="1" x14ac:dyDescent="0.25">
      <c r="A48" s="48">
        <v>46091</v>
      </c>
      <c r="B48" s="49" t="s">
        <v>186</v>
      </c>
      <c r="C48" s="44" t="s">
        <v>30</v>
      </c>
      <c r="D48" s="44" t="e" vm="7">
        <v>#VALUE!</v>
      </c>
      <c r="E48" s="44" t="s">
        <v>28</v>
      </c>
      <c r="F48" s="44" t="s">
        <v>15</v>
      </c>
      <c r="G48" s="56" t="s">
        <v>16</v>
      </c>
      <c r="H48" s="56" t="s">
        <v>48</v>
      </c>
      <c r="I48" s="56" t="s">
        <v>134</v>
      </c>
      <c r="J48" s="57">
        <v>119900</v>
      </c>
      <c r="K48" s="56" t="s">
        <v>145</v>
      </c>
      <c r="L48" s="56" t="s">
        <v>102</v>
      </c>
      <c r="M48" s="56" t="s">
        <v>147</v>
      </c>
      <c r="N48" s="56" t="s">
        <v>148</v>
      </c>
      <c r="O48" s="56" t="s">
        <v>149</v>
      </c>
      <c r="P48" s="56">
        <v>2</v>
      </c>
      <c r="Q48" s="56"/>
      <c r="R48" s="58"/>
      <c r="S48" s="58"/>
      <c r="T48" s="59">
        <v>2</v>
      </c>
      <c r="U48" s="58" t="s">
        <v>150</v>
      </c>
      <c r="V48" s="56" t="s">
        <v>139</v>
      </c>
      <c r="W48" s="56"/>
      <c r="X48" s="56" t="s">
        <v>21</v>
      </c>
    </row>
    <row r="49" spans="1:24" s="45" customFormat="1" ht="75.75" customHeight="1" x14ac:dyDescent="0.25">
      <c r="A49" s="48">
        <v>46091</v>
      </c>
      <c r="B49" s="49" t="s">
        <v>186</v>
      </c>
      <c r="C49" s="44" t="s">
        <v>30</v>
      </c>
      <c r="D49" s="44" t="e" vm="7">
        <v>#VALUE!</v>
      </c>
      <c r="E49" s="44" t="s">
        <v>28</v>
      </c>
      <c r="F49" s="44" t="s">
        <v>15</v>
      </c>
      <c r="G49" s="56" t="s">
        <v>16</v>
      </c>
      <c r="H49" s="56" t="s">
        <v>38</v>
      </c>
      <c r="I49" s="56" t="s">
        <v>134</v>
      </c>
      <c r="J49" s="57">
        <v>89900</v>
      </c>
      <c r="K49" s="56" t="s">
        <v>145</v>
      </c>
      <c r="L49" s="56" t="s">
        <v>102</v>
      </c>
      <c r="M49" s="56" t="s">
        <v>151</v>
      </c>
      <c r="N49" s="56" t="s">
        <v>138</v>
      </c>
      <c r="O49" s="56" t="s">
        <v>138</v>
      </c>
      <c r="P49" s="56" t="s">
        <v>138</v>
      </c>
      <c r="Q49" s="56" t="s">
        <v>138</v>
      </c>
      <c r="R49" s="58"/>
      <c r="S49" s="58"/>
      <c r="T49" s="59">
        <v>1</v>
      </c>
      <c r="U49" s="58" t="s">
        <v>152</v>
      </c>
      <c r="V49" s="56" t="s">
        <v>139</v>
      </c>
      <c r="W49" s="56"/>
      <c r="X49" s="56" t="s">
        <v>21</v>
      </c>
    </row>
    <row r="50" spans="1:24" s="45" customFormat="1" ht="75.75" customHeight="1" x14ac:dyDescent="0.25">
      <c r="A50" s="48">
        <v>46091</v>
      </c>
      <c r="B50" s="49" t="s">
        <v>186</v>
      </c>
      <c r="C50" s="44" t="s">
        <v>30</v>
      </c>
      <c r="D50" s="44" t="e" vm="7">
        <v>#VALUE!</v>
      </c>
      <c r="E50" s="44" t="s">
        <v>28</v>
      </c>
      <c r="F50" s="44" t="s">
        <v>15</v>
      </c>
      <c r="G50" s="56" t="s">
        <v>16</v>
      </c>
      <c r="H50" s="56" t="s">
        <v>24</v>
      </c>
      <c r="I50" s="56" t="s">
        <v>187</v>
      </c>
      <c r="J50" s="57">
        <v>63700</v>
      </c>
      <c r="K50" s="56" t="s">
        <v>145</v>
      </c>
      <c r="L50" s="56" t="s">
        <v>102</v>
      </c>
      <c r="M50" s="56" t="s">
        <v>151</v>
      </c>
      <c r="N50" s="56" t="s">
        <v>188</v>
      </c>
      <c r="O50" s="56" t="s">
        <v>149</v>
      </c>
      <c r="P50" s="56">
        <v>1</v>
      </c>
      <c r="Q50" s="56"/>
      <c r="R50" s="58"/>
      <c r="S50" s="58"/>
      <c r="T50" s="58"/>
      <c r="U50" s="58"/>
      <c r="V50" s="56"/>
      <c r="W50" s="56"/>
      <c r="X50" s="56" t="s">
        <v>21</v>
      </c>
    </row>
    <row r="51" spans="1:24" s="45" customFormat="1" ht="75.75" customHeight="1" x14ac:dyDescent="0.25">
      <c r="A51" s="48">
        <v>46091</v>
      </c>
      <c r="B51" s="49" t="s">
        <v>189</v>
      </c>
      <c r="C51" s="44" t="s">
        <v>30</v>
      </c>
      <c r="D51" s="44" t="e" vm="8">
        <v>#VALUE!</v>
      </c>
      <c r="E51" s="44" t="s">
        <v>28</v>
      </c>
      <c r="F51" s="44" t="s">
        <v>15</v>
      </c>
      <c r="G51" s="56" t="s">
        <v>16</v>
      </c>
      <c r="H51" s="56" t="s">
        <v>24</v>
      </c>
      <c r="I51" s="56" t="s">
        <v>187</v>
      </c>
      <c r="J51" s="57">
        <v>86436</v>
      </c>
      <c r="K51" s="56" t="s">
        <v>191</v>
      </c>
      <c r="L51" s="56" t="s">
        <v>102</v>
      </c>
      <c r="M51" s="56" t="s">
        <v>151</v>
      </c>
      <c r="N51" s="56" t="s">
        <v>192</v>
      </c>
      <c r="O51" s="56" t="s">
        <v>193</v>
      </c>
      <c r="P51" s="56">
        <v>1</v>
      </c>
      <c r="Q51" s="56"/>
      <c r="R51" s="58"/>
      <c r="S51" s="58"/>
      <c r="T51" s="58"/>
      <c r="U51" s="58"/>
      <c r="V51" s="56"/>
      <c r="W51" s="56"/>
      <c r="X51" s="56" t="s">
        <v>21</v>
      </c>
    </row>
    <row r="52" spans="1:24" s="45" customFormat="1" ht="75.75" customHeight="1" x14ac:dyDescent="0.25">
      <c r="A52" s="48">
        <v>46091</v>
      </c>
      <c r="B52" s="49" t="s">
        <v>186</v>
      </c>
      <c r="C52" s="44" t="s">
        <v>14</v>
      </c>
      <c r="D52" s="44" t="e" vm="9">
        <v>#VALUE!</v>
      </c>
      <c r="E52" s="44" t="s">
        <v>28</v>
      </c>
      <c r="F52" s="44" t="s">
        <v>23</v>
      </c>
      <c r="G52" s="56" t="s">
        <v>16</v>
      </c>
      <c r="H52" s="56" t="s">
        <v>17</v>
      </c>
      <c r="I52" s="56" t="s">
        <v>194</v>
      </c>
      <c r="J52" s="57" t="s">
        <v>195</v>
      </c>
      <c r="K52" s="56" t="s">
        <v>196</v>
      </c>
      <c r="L52" s="56" t="s">
        <v>102</v>
      </c>
      <c r="M52" s="56" t="s">
        <v>197</v>
      </c>
      <c r="N52" s="56" t="s">
        <v>138</v>
      </c>
      <c r="O52" s="56" t="s">
        <v>138</v>
      </c>
      <c r="P52" s="56" t="s">
        <v>138</v>
      </c>
      <c r="Q52" s="56" t="s">
        <v>138</v>
      </c>
      <c r="R52" s="58"/>
      <c r="S52" s="58"/>
      <c r="T52" s="58"/>
      <c r="U52" s="58"/>
      <c r="V52" s="56"/>
      <c r="W52" s="56" t="s">
        <v>198</v>
      </c>
      <c r="X52" s="56" t="s">
        <v>21</v>
      </c>
    </row>
    <row r="53" spans="1:24" s="45" customFormat="1" ht="75.75" customHeight="1" x14ac:dyDescent="0.25">
      <c r="A53" s="48">
        <v>46091</v>
      </c>
      <c r="B53" s="49" t="s">
        <v>189</v>
      </c>
      <c r="C53" s="44" t="s">
        <v>14</v>
      </c>
      <c r="D53" s="44" t="e" vm="10">
        <v>#VALUE!</v>
      </c>
      <c r="E53" s="44" t="s">
        <v>28</v>
      </c>
      <c r="F53" s="44" t="s">
        <v>15</v>
      </c>
      <c r="G53" s="56" t="s">
        <v>16</v>
      </c>
      <c r="H53" s="56" t="s">
        <v>24</v>
      </c>
      <c r="I53" s="56" t="s">
        <v>187</v>
      </c>
      <c r="J53" s="57" t="s">
        <v>190</v>
      </c>
      <c r="K53" s="56" t="s">
        <v>191</v>
      </c>
      <c r="L53" s="56" t="s">
        <v>102</v>
      </c>
      <c r="M53" s="56" t="s">
        <v>151</v>
      </c>
      <c r="N53" s="56" t="s">
        <v>192</v>
      </c>
      <c r="O53" s="56" t="s">
        <v>193</v>
      </c>
      <c r="P53" s="56">
        <v>1</v>
      </c>
      <c r="Q53" s="56"/>
      <c r="R53" s="58"/>
      <c r="S53" s="58"/>
      <c r="T53" s="58"/>
      <c r="U53" s="58"/>
      <c r="V53" s="56"/>
      <c r="W53" s="56"/>
      <c r="X53" s="56" t="s">
        <v>21</v>
      </c>
    </row>
    <row r="54" spans="1:24" s="45" customFormat="1" ht="75.75" customHeight="1" x14ac:dyDescent="0.25">
      <c r="A54" s="48">
        <v>46091</v>
      </c>
      <c r="B54" s="49" t="s">
        <v>186</v>
      </c>
      <c r="C54" s="44" t="s">
        <v>14</v>
      </c>
      <c r="D54" s="44" t="e" vm="9">
        <v>#VALUE!</v>
      </c>
      <c r="E54" s="44" t="s">
        <v>28</v>
      </c>
      <c r="F54" s="44" t="s">
        <v>23</v>
      </c>
      <c r="G54" s="56" t="s">
        <v>16</v>
      </c>
      <c r="H54" s="56" t="s">
        <v>24</v>
      </c>
      <c r="I54" s="56" t="s">
        <v>187</v>
      </c>
      <c r="J54" s="57" t="s">
        <v>199</v>
      </c>
      <c r="K54" s="56" t="s">
        <v>196</v>
      </c>
      <c r="L54" s="56" t="s">
        <v>102</v>
      </c>
      <c r="M54" s="56" t="s">
        <v>166</v>
      </c>
      <c r="N54" s="56" t="s">
        <v>200</v>
      </c>
      <c r="O54" s="56" t="s">
        <v>201</v>
      </c>
      <c r="P54" s="56" t="s">
        <v>138</v>
      </c>
      <c r="Q54" s="56" t="s">
        <v>138</v>
      </c>
      <c r="R54" s="58"/>
      <c r="S54" s="58"/>
      <c r="T54" s="58"/>
      <c r="U54" s="58"/>
      <c r="V54" s="56"/>
      <c r="W54" s="56" t="s">
        <v>198</v>
      </c>
      <c r="X54" s="56" t="s">
        <v>21</v>
      </c>
    </row>
    <row r="55" spans="1:24" s="45" customFormat="1" ht="75.75" customHeight="1" x14ac:dyDescent="0.25">
      <c r="A55" s="75">
        <v>46091</v>
      </c>
      <c r="B55" s="76" t="s">
        <v>189</v>
      </c>
      <c r="C55" s="44" t="s">
        <v>14</v>
      </c>
      <c r="D55" s="77" t="e" vm="7">
        <v>#VALUE!</v>
      </c>
      <c r="E55" s="77" t="s">
        <v>28</v>
      </c>
      <c r="F55" s="77" t="s">
        <v>23</v>
      </c>
      <c r="G55" s="77" t="s">
        <v>16</v>
      </c>
      <c r="H55" s="77" t="s">
        <v>38</v>
      </c>
      <c r="I55" s="77" t="s">
        <v>134</v>
      </c>
      <c r="J55" s="77" t="s">
        <v>202</v>
      </c>
      <c r="K55" s="77" t="s">
        <v>203</v>
      </c>
      <c r="L55" s="77" t="s">
        <v>102</v>
      </c>
      <c r="M55" s="77" t="s">
        <v>137</v>
      </c>
      <c r="N55" s="77" t="s">
        <v>138</v>
      </c>
      <c r="O55" s="76"/>
      <c r="P55" s="76"/>
      <c r="Q55" s="76"/>
      <c r="R55" s="76"/>
      <c r="S55" s="76"/>
      <c r="T55" s="76"/>
      <c r="U55" s="76"/>
      <c r="V55" s="77" t="s">
        <v>139</v>
      </c>
      <c r="W55" s="76"/>
      <c r="X55" s="77" t="s">
        <v>21</v>
      </c>
    </row>
    <row r="56" spans="1:24" s="45" customFormat="1" ht="75.75" customHeight="1" x14ac:dyDescent="0.25">
      <c r="A56" s="75">
        <v>46091</v>
      </c>
      <c r="B56" s="76" t="s">
        <v>189</v>
      </c>
      <c r="C56" s="44" t="s">
        <v>14</v>
      </c>
      <c r="D56" s="77" t="e" vm="7">
        <v>#VALUE!</v>
      </c>
      <c r="E56" s="77" t="s">
        <v>28</v>
      </c>
      <c r="F56" s="77" t="s">
        <v>23</v>
      </c>
      <c r="G56" s="77" t="s">
        <v>16</v>
      </c>
      <c r="H56" s="77" t="s">
        <v>38</v>
      </c>
      <c r="I56" s="77" t="s">
        <v>134</v>
      </c>
      <c r="J56" s="77" t="s">
        <v>204</v>
      </c>
      <c r="K56" s="77" t="s">
        <v>205</v>
      </c>
      <c r="L56" s="77" t="s">
        <v>102</v>
      </c>
      <c r="M56" s="77" t="s">
        <v>137</v>
      </c>
      <c r="N56" s="77" t="s">
        <v>138</v>
      </c>
      <c r="O56" s="76"/>
      <c r="P56" s="76"/>
      <c r="Q56" s="76"/>
      <c r="R56" s="76"/>
      <c r="S56" s="76"/>
      <c r="T56" s="76">
        <v>1</v>
      </c>
      <c r="U56" s="77" t="s">
        <v>206</v>
      </c>
      <c r="V56" s="77" t="s">
        <v>139</v>
      </c>
      <c r="W56" s="76"/>
      <c r="X56" s="77" t="s">
        <v>21</v>
      </c>
    </row>
    <row r="57" spans="1:24" s="45" customFormat="1" ht="75.75" customHeight="1" x14ac:dyDescent="0.25">
      <c r="A57" s="75">
        <v>46091</v>
      </c>
      <c r="B57" s="76" t="s">
        <v>189</v>
      </c>
      <c r="C57" s="44" t="s">
        <v>14</v>
      </c>
      <c r="D57" s="77" t="e" vm="7">
        <v>#VALUE!</v>
      </c>
      <c r="E57" s="77" t="s">
        <v>28</v>
      </c>
      <c r="F57" s="77" t="s">
        <v>23</v>
      </c>
      <c r="G57" s="77" t="s">
        <v>16</v>
      </c>
      <c r="H57" s="77" t="s">
        <v>48</v>
      </c>
      <c r="I57" s="77" t="s">
        <v>134</v>
      </c>
      <c r="J57" s="77" t="s">
        <v>207</v>
      </c>
      <c r="K57" s="77" t="s">
        <v>208</v>
      </c>
      <c r="L57" s="77" t="s">
        <v>102</v>
      </c>
      <c r="M57" s="77" t="s">
        <v>137</v>
      </c>
      <c r="N57" s="77" t="s">
        <v>184</v>
      </c>
      <c r="O57" s="76"/>
      <c r="P57" s="76">
        <v>2</v>
      </c>
      <c r="Q57" s="76"/>
      <c r="R57" s="76"/>
      <c r="S57" s="76"/>
      <c r="T57" s="76"/>
      <c r="U57" s="76"/>
      <c r="V57" s="77" t="s">
        <v>139</v>
      </c>
      <c r="W57" s="76"/>
      <c r="X57" s="77" t="s">
        <v>21</v>
      </c>
    </row>
    <row r="58" spans="1:24" s="45" customFormat="1" ht="75.75" customHeight="1" x14ac:dyDescent="0.25">
      <c r="A58" s="75">
        <v>46091</v>
      </c>
      <c r="B58" s="76" t="s">
        <v>189</v>
      </c>
      <c r="C58" s="44" t="s">
        <v>14</v>
      </c>
      <c r="D58" s="77" t="e" vm="7">
        <v>#VALUE!</v>
      </c>
      <c r="E58" s="77" t="s">
        <v>28</v>
      </c>
      <c r="F58" s="77" t="s">
        <v>23</v>
      </c>
      <c r="G58" s="77" t="s">
        <v>16</v>
      </c>
      <c r="H58" s="77" t="s">
        <v>48</v>
      </c>
      <c r="I58" s="77" t="s">
        <v>134</v>
      </c>
      <c r="J58" s="77" t="s">
        <v>209</v>
      </c>
      <c r="K58" s="77" t="s">
        <v>210</v>
      </c>
      <c r="L58" s="77" t="s">
        <v>102</v>
      </c>
      <c r="M58" s="77" t="s">
        <v>137</v>
      </c>
      <c r="N58" s="50" t="s">
        <v>184</v>
      </c>
      <c r="O58" s="78"/>
      <c r="P58" s="78">
        <v>2</v>
      </c>
      <c r="Q58" s="78"/>
      <c r="R58" s="78"/>
      <c r="S58" s="78"/>
      <c r="T58" s="78">
        <v>1</v>
      </c>
      <c r="U58" s="50" t="s">
        <v>206</v>
      </c>
      <c r="V58" s="50" t="s">
        <v>139</v>
      </c>
      <c r="W58" s="78"/>
      <c r="X58" s="77" t="s">
        <v>21</v>
      </c>
    </row>
    <row r="59" spans="1:24" s="45" customFormat="1" ht="75.75" customHeight="1" x14ac:dyDescent="0.25">
      <c r="A59" s="75">
        <v>46091</v>
      </c>
      <c r="B59" s="76" t="s">
        <v>189</v>
      </c>
      <c r="C59" s="44" t="s">
        <v>14</v>
      </c>
      <c r="D59" s="77" t="e" vm="7">
        <v>#VALUE!</v>
      </c>
      <c r="E59" s="77" t="s">
        <v>28</v>
      </c>
      <c r="F59" s="77" t="s">
        <v>23</v>
      </c>
      <c r="G59" s="77" t="s">
        <v>16</v>
      </c>
      <c r="H59" s="77" t="s">
        <v>17</v>
      </c>
      <c r="I59" s="76" t="s">
        <v>211</v>
      </c>
      <c r="J59" s="77" t="s">
        <v>212</v>
      </c>
      <c r="K59" s="77" t="s">
        <v>213</v>
      </c>
      <c r="L59" s="77" t="s">
        <v>214</v>
      </c>
      <c r="M59" s="77" t="s">
        <v>157</v>
      </c>
      <c r="N59" s="78" t="s">
        <v>211</v>
      </c>
      <c r="O59" s="78" t="s">
        <v>211</v>
      </c>
      <c r="P59" s="78" t="s">
        <v>211</v>
      </c>
      <c r="Q59" s="78" t="s">
        <v>211</v>
      </c>
      <c r="R59" s="78" t="s">
        <v>211</v>
      </c>
      <c r="S59" s="78" t="s">
        <v>211</v>
      </c>
      <c r="T59" s="78" t="s">
        <v>211</v>
      </c>
      <c r="U59" s="78" t="s">
        <v>211</v>
      </c>
      <c r="V59" s="78" t="s">
        <v>211</v>
      </c>
      <c r="W59" s="78" t="s">
        <v>211</v>
      </c>
      <c r="X59" s="77" t="s">
        <v>21</v>
      </c>
    </row>
    <row r="60" spans="1:24" s="45" customFormat="1" ht="75.75" customHeight="1" x14ac:dyDescent="0.25">
      <c r="A60" s="75">
        <v>46091</v>
      </c>
      <c r="B60" s="76" t="s">
        <v>189</v>
      </c>
      <c r="C60" s="44" t="s">
        <v>14</v>
      </c>
      <c r="D60" s="77" t="e" vm="7">
        <v>#VALUE!</v>
      </c>
      <c r="E60" s="77" t="s">
        <v>28</v>
      </c>
      <c r="F60" s="77" t="s">
        <v>23</v>
      </c>
      <c r="G60" s="77" t="s">
        <v>16</v>
      </c>
      <c r="H60" s="77" t="s">
        <v>24</v>
      </c>
      <c r="I60" s="77" t="s">
        <v>187</v>
      </c>
      <c r="J60" s="77" t="s">
        <v>215</v>
      </c>
      <c r="K60" s="77" t="s">
        <v>213</v>
      </c>
      <c r="L60" s="77" t="s">
        <v>214</v>
      </c>
      <c r="M60" s="77" t="s">
        <v>216</v>
      </c>
      <c r="N60" s="78" t="s">
        <v>211</v>
      </c>
      <c r="O60" s="78" t="s">
        <v>211</v>
      </c>
      <c r="P60" s="78" t="s">
        <v>211</v>
      </c>
      <c r="Q60" s="78" t="s">
        <v>211</v>
      </c>
      <c r="R60" s="78" t="s">
        <v>211</v>
      </c>
      <c r="S60" s="78" t="s">
        <v>211</v>
      </c>
      <c r="T60" s="78" t="s">
        <v>211</v>
      </c>
      <c r="U60" s="78" t="s">
        <v>211</v>
      </c>
      <c r="V60" s="78" t="s">
        <v>211</v>
      </c>
      <c r="W60" s="78" t="s">
        <v>211</v>
      </c>
      <c r="X60" s="77" t="s">
        <v>21</v>
      </c>
    </row>
    <row r="61" spans="1:24" s="45" customFormat="1" ht="75.75" customHeight="1" x14ac:dyDescent="0.25">
      <c r="A61" s="75">
        <v>46091</v>
      </c>
      <c r="B61" s="76" t="s">
        <v>189</v>
      </c>
      <c r="C61" s="44" t="s">
        <v>14</v>
      </c>
      <c r="D61" s="77" t="e" vm="8">
        <v>#VALUE!</v>
      </c>
      <c r="E61" s="77" t="s">
        <v>28</v>
      </c>
      <c r="F61" s="77" t="s">
        <v>23</v>
      </c>
      <c r="G61" s="77" t="s">
        <v>16</v>
      </c>
      <c r="H61" s="77" t="s">
        <v>17</v>
      </c>
      <c r="I61" s="77" t="s">
        <v>211</v>
      </c>
      <c r="J61" s="77" t="s">
        <v>217</v>
      </c>
      <c r="K61" s="77" t="s">
        <v>213</v>
      </c>
      <c r="L61" s="77" t="s">
        <v>214</v>
      </c>
      <c r="M61" s="77" t="s">
        <v>166</v>
      </c>
      <c r="N61" s="78" t="s">
        <v>211</v>
      </c>
      <c r="O61" s="78" t="s">
        <v>211</v>
      </c>
      <c r="P61" s="78" t="s">
        <v>211</v>
      </c>
      <c r="Q61" s="78" t="s">
        <v>211</v>
      </c>
      <c r="R61" s="78" t="s">
        <v>211</v>
      </c>
      <c r="S61" s="78" t="s">
        <v>211</v>
      </c>
      <c r="T61" s="78" t="s">
        <v>211</v>
      </c>
      <c r="U61" s="78" t="s">
        <v>211</v>
      </c>
      <c r="V61" s="78" t="s">
        <v>211</v>
      </c>
      <c r="W61" s="78" t="s">
        <v>211</v>
      </c>
      <c r="X61" s="77" t="s">
        <v>21</v>
      </c>
    </row>
    <row r="62" spans="1:24" s="45" customFormat="1" ht="75.75" customHeight="1" x14ac:dyDescent="0.25">
      <c r="A62" s="75">
        <v>46091</v>
      </c>
      <c r="B62" s="76" t="s">
        <v>189</v>
      </c>
      <c r="C62" s="44" t="s">
        <v>14</v>
      </c>
      <c r="D62" s="77" t="e" vm="10">
        <v>#VALUE!</v>
      </c>
      <c r="E62" s="77" t="s">
        <v>28</v>
      </c>
      <c r="F62" s="77" t="s">
        <v>23</v>
      </c>
      <c r="G62" s="77" t="s">
        <v>16</v>
      </c>
      <c r="H62" s="77" t="s">
        <v>17</v>
      </c>
      <c r="I62" s="76" t="s">
        <v>211</v>
      </c>
      <c r="J62" s="77" t="s">
        <v>217</v>
      </c>
      <c r="K62" s="77" t="s">
        <v>213</v>
      </c>
      <c r="L62" s="77" t="s">
        <v>214</v>
      </c>
      <c r="M62" s="77" t="s">
        <v>218</v>
      </c>
      <c r="N62" s="78" t="s">
        <v>211</v>
      </c>
      <c r="O62" s="78" t="s">
        <v>211</v>
      </c>
      <c r="P62" s="78" t="s">
        <v>211</v>
      </c>
      <c r="Q62" s="78" t="s">
        <v>211</v>
      </c>
      <c r="R62" s="78" t="s">
        <v>211</v>
      </c>
      <c r="S62" s="78" t="s">
        <v>211</v>
      </c>
      <c r="T62" s="78" t="s">
        <v>211</v>
      </c>
      <c r="U62" s="78" t="s">
        <v>211</v>
      </c>
      <c r="V62" s="78" t="s">
        <v>211</v>
      </c>
      <c r="W62" s="50" t="s">
        <v>219</v>
      </c>
      <c r="X62" s="77" t="s">
        <v>21</v>
      </c>
    </row>
    <row r="63" spans="1:24" s="45" customFormat="1" ht="75.75" customHeight="1" x14ac:dyDescent="0.25">
      <c r="A63" s="75">
        <v>46092</v>
      </c>
      <c r="B63" s="44" t="s">
        <v>220</v>
      </c>
      <c r="C63" s="44" t="s">
        <v>14</v>
      </c>
      <c r="D63" s="44" t="s">
        <v>20</v>
      </c>
      <c r="E63" s="44" t="s">
        <v>20</v>
      </c>
      <c r="F63" s="44" t="s">
        <v>23</v>
      </c>
      <c r="G63" s="56" t="s">
        <v>16</v>
      </c>
      <c r="H63" s="56" t="s">
        <v>38</v>
      </c>
      <c r="I63" s="56" t="s">
        <v>134</v>
      </c>
      <c r="J63" s="57">
        <v>89900</v>
      </c>
      <c r="K63" s="56" t="s">
        <v>181</v>
      </c>
      <c r="L63" s="56" t="s">
        <v>182</v>
      </c>
      <c r="M63" s="56" t="s">
        <v>137</v>
      </c>
      <c r="N63" s="56" t="s">
        <v>138</v>
      </c>
      <c r="O63" s="56" t="s">
        <v>138</v>
      </c>
      <c r="P63" s="56" t="s">
        <v>138</v>
      </c>
      <c r="Q63" s="56">
        <v>0</v>
      </c>
      <c r="R63" s="58">
        <v>0</v>
      </c>
      <c r="S63" s="58">
        <v>0</v>
      </c>
      <c r="T63" s="58" t="s">
        <v>138</v>
      </c>
      <c r="U63" s="58" t="s">
        <v>138</v>
      </c>
      <c r="V63" s="56" t="s">
        <v>139</v>
      </c>
      <c r="W63" s="56"/>
      <c r="X63" s="56" t="s">
        <v>21</v>
      </c>
    </row>
    <row r="64" spans="1:24" s="45" customFormat="1" ht="75.75" customHeight="1" x14ac:dyDescent="0.25">
      <c r="A64" s="75">
        <v>46092</v>
      </c>
      <c r="B64" s="44" t="s">
        <v>220</v>
      </c>
      <c r="C64" s="44" t="s">
        <v>14</v>
      </c>
      <c r="D64" s="44" t="s">
        <v>20</v>
      </c>
      <c r="E64" s="44" t="s">
        <v>20</v>
      </c>
      <c r="F64" s="44" t="s">
        <v>23</v>
      </c>
      <c r="G64" s="56" t="s">
        <v>16</v>
      </c>
      <c r="H64" s="56" t="s">
        <v>48</v>
      </c>
      <c r="I64" s="56" t="s">
        <v>134</v>
      </c>
      <c r="J64" s="57">
        <v>109900</v>
      </c>
      <c r="K64" s="56" t="s">
        <v>183</v>
      </c>
      <c r="L64" s="56" t="s">
        <v>182</v>
      </c>
      <c r="M64" s="56" t="s">
        <v>137</v>
      </c>
      <c r="N64" s="56" t="s">
        <v>184</v>
      </c>
      <c r="O64" s="56" t="s">
        <v>185</v>
      </c>
      <c r="P64" s="56">
        <v>2</v>
      </c>
      <c r="Q64" s="60">
        <v>15500</v>
      </c>
      <c r="R64" s="58">
        <v>0</v>
      </c>
      <c r="S64" s="58">
        <v>0</v>
      </c>
      <c r="T64" s="58">
        <v>0</v>
      </c>
      <c r="U64" s="58">
        <v>0</v>
      </c>
      <c r="V64" s="56" t="s">
        <v>139</v>
      </c>
      <c r="W64" s="56"/>
      <c r="X64" s="56" t="s">
        <v>21</v>
      </c>
    </row>
    <row r="65" spans="1:24" s="45" customFormat="1" ht="75.75" customHeight="1" x14ac:dyDescent="0.25">
      <c r="A65" s="75">
        <v>46092</v>
      </c>
      <c r="B65" s="44" t="s">
        <v>220</v>
      </c>
      <c r="C65" s="44" t="s">
        <v>14</v>
      </c>
      <c r="D65" s="44" t="e" vm="7">
        <v>#VALUE!</v>
      </c>
      <c r="E65" s="44" t="s">
        <v>28</v>
      </c>
      <c r="F65" s="44" t="s">
        <v>15</v>
      </c>
      <c r="G65" s="56" t="s">
        <v>16</v>
      </c>
      <c r="H65" s="56" t="s">
        <v>38</v>
      </c>
      <c r="I65" s="56" t="s">
        <v>134</v>
      </c>
      <c r="J65" s="57">
        <v>89900</v>
      </c>
      <c r="K65" s="56" t="s">
        <v>145</v>
      </c>
      <c r="L65" s="56" t="s">
        <v>102</v>
      </c>
      <c r="M65" s="56" t="s">
        <v>151</v>
      </c>
      <c r="N65" s="56" t="s">
        <v>138</v>
      </c>
      <c r="O65" s="56" t="s">
        <v>138</v>
      </c>
      <c r="P65" s="56" t="s">
        <v>138</v>
      </c>
      <c r="Q65" s="56" t="s">
        <v>138</v>
      </c>
      <c r="R65" s="58"/>
      <c r="S65" s="58"/>
      <c r="T65" s="59">
        <v>1</v>
      </c>
      <c r="U65" s="58" t="s">
        <v>152</v>
      </c>
      <c r="V65" s="56" t="s">
        <v>139</v>
      </c>
      <c r="W65" s="56"/>
      <c r="X65" s="56" t="s">
        <v>21</v>
      </c>
    </row>
    <row r="66" spans="1:24" s="45" customFormat="1" ht="75.75" customHeight="1" x14ac:dyDescent="0.25">
      <c r="A66" s="75">
        <v>46092</v>
      </c>
      <c r="B66" s="44" t="s">
        <v>220</v>
      </c>
      <c r="C66" s="44" t="s">
        <v>14</v>
      </c>
      <c r="D66" s="44" t="e" vm="7">
        <v>#VALUE!</v>
      </c>
      <c r="E66" s="44" t="s">
        <v>28</v>
      </c>
      <c r="F66" s="44" t="s">
        <v>15</v>
      </c>
      <c r="G66" s="56" t="s">
        <v>16</v>
      </c>
      <c r="H66" s="56" t="s">
        <v>24</v>
      </c>
      <c r="I66" s="56" t="s">
        <v>187</v>
      </c>
      <c r="J66" s="57">
        <v>63700</v>
      </c>
      <c r="K66" s="56" t="s">
        <v>145</v>
      </c>
      <c r="L66" s="56" t="s">
        <v>102</v>
      </c>
      <c r="M66" s="56" t="s">
        <v>151</v>
      </c>
      <c r="N66" s="56" t="s">
        <v>188</v>
      </c>
      <c r="O66" s="56" t="s">
        <v>149</v>
      </c>
      <c r="P66" s="56">
        <v>1</v>
      </c>
      <c r="Q66" s="56"/>
      <c r="R66" s="58"/>
      <c r="S66" s="58"/>
      <c r="T66" s="58"/>
      <c r="U66" s="58"/>
      <c r="V66" s="56"/>
      <c r="W66" s="56"/>
      <c r="X66" s="56" t="s">
        <v>21</v>
      </c>
    </row>
    <row r="67" spans="1:24" s="45" customFormat="1" ht="75.75" customHeight="1" x14ac:dyDescent="0.25">
      <c r="A67" s="75">
        <v>46092</v>
      </c>
      <c r="B67" s="44" t="s">
        <v>220</v>
      </c>
      <c r="C67" s="44" t="s">
        <v>14</v>
      </c>
      <c r="D67" s="44" t="e" vm="7">
        <v>#VALUE!</v>
      </c>
      <c r="E67" s="44" t="s">
        <v>28</v>
      </c>
      <c r="F67" s="44" t="s">
        <v>15</v>
      </c>
      <c r="G67" s="56" t="s">
        <v>16</v>
      </c>
      <c r="H67" s="56" t="s">
        <v>48</v>
      </c>
      <c r="I67" s="56" t="s">
        <v>134</v>
      </c>
      <c r="J67" s="57">
        <v>119900</v>
      </c>
      <c r="K67" s="56" t="s">
        <v>145</v>
      </c>
      <c r="L67" s="56" t="s">
        <v>102</v>
      </c>
      <c r="M67" s="56" t="s">
        <v>147</v>
      </c>
      <c r="N67" s="56" t="s">
        <v>148</v>
      </c>
      <c r="O67" s="56" t="s">
        <v>149</v>
      </c>
      <c r="P67" s="56">
        <v>2</v>
      </c>
      <c r="Q67" s="56"/>
      <c r="R67" s="58"/>
      <c r="S67" s="58"/>
      <c r="T67" s="59">
        <v>2</v>
      </c>
      <c r="U67" s="58" t="s">
        <v>150</v>
      </c>
      <c r="V67" s="56" t="s">
        <v>139</v>
      </c>
      <c r="W67" s="56"/>
      <c r="X67" s="56" t="s">
        <v>21</v>
      </c>
    </row>
    <row r="68" spans="1:24" s="45" customFormat="1" ht="75.75" customHeight="1" x14ac:dyDescent="0.25">
      <c r="A68" s="75">
        <v>46092</v>
      </c>
      <c r="B68" s="50" t="s">
        <v>220</v>
      </c>
      <c r="C68" s="44" t="s">
        <v>14</v>
      </c>
      <c r="D68" s="78" t="e" vm="11">
        <v>#VALUE!</v>
      </c>
      <c r="E68" s="50" t="s">
        <v>28</v>
      </c>
      <c r="F68" s="50" t="s">
        <v>23</v>
      </c>
      <c r="G68" s="51" t="s">
        <v>16</v>
      </c>
      <c r="H68" s="51" t="s">
        <v>17</v>
      </c>
      <c r="I68" s="51" t="s">
        <v>194</v>
      </c>
      <c r="J68" s="52">
        <v>49900</v>
      </c>
      <c r="K68" s="51" t="s">
        <v>196</v>
      </c>
      <c r="L68" s="51" t="s">
        <v>102</v>
      </c>
      <c r="M68" s="51" t="s">
        <v>197</v>
      </c>
      <c r="N68" s="51" t="s">
        <v>138</v>
      </c>
      <c r="O68" s="51" t="s">
        <v>138</v>
      </c>
      <c r="P68" s="51" t="s">
        <v>138</v>
      </c>
      <c r="Q68" s="51" t="s">
        <v>138</v>
      </c>
      <c r="R68" s="53"/>
      <c r="S68" s="53"/>
      <c r="T68" s="53"/>
      <c r="U68" s="53"/>
      <c r="V68" s="51"/>
      <c r="W68" s="51" t="s">
        <v>198</v>
      </c>
      <c r="X68" s="51" t="s">
        <v>21</v>
      </c>
    </row>
    <row r="69" spans="1:24" s="45" customFormat="1" ht="75.75" customHeight="1" x14ac:dyDescent="0.25">
      <c r="A69" s="75">
        <v>46092</v>
      </c>
      <c r="B69" s="50" t="s">
        <v>220</v>
      </c>
      <c r="C69" s="44" t="s">
        <v>14</v>
      </c>
      <c r="D69" s="78" t="e" vm="11">
        <v>#VALUE!</v>
      </c>
      <c r="E69" s="50" t="s">
        <v>28</v>
      </c>
      <c r="F69" s="50" t="s">
        <v>15</v>
      </c>
      <c r="G69" s="51" t="s">
        <v>16</v>
      </c>
      <c r="H69" s="51" t="s">
        <v>24</v>
      </c>
      <c r="I69" s="51" t="s">
        <v>187</v>
      </c>
      <c r="J69" s="52">
        <v>86436</v>
      </c>
      <c r="K69" s="51" t="s">
        <v>191</v>
      </c>
      <c r="L69" s="51" t="s">
        <v>102</v>
      </c>
      <c r="M69" s="51" t="s">
        <v>151</v>
      </c>
      <c r="N69" s="51" t="s">
        <v>192</v>
      </c>
      <c r="O69" s="51" t="s">
        <v>193</v>
      </c>
      <c r="P69" s="51">
        <v>1</v>
      </c>
      <c r="Q69" s="51"/>
      <c r="R69" s="53"/>
      <c r="S69" s="53"/>
      <c r="T69" s="53"/>
      <c r="U69" s="53"/>
      <c r="V69" s="51"/>
      <c r="W69" s="51"/>
      <c r="X69" s="51" t="s">
        <v>21</v>
      </c>
    </row>
    <row r="70" spans="1:24" s="45" customFormat="1" ht="75.75" customHeight="1" x14ac:dyDescent="0.25">
      <c r="A70" s="75">
        <v>46092</v>
      </c>
      <c r="B70" s="50" t="s">
        <v>220</v>
      </c>
      <c r="C70" s="44" t="s">
        <v>14</v>
      </c>
      <c r="D70" s="78" t="e" vm="12">
        <v>#VALUE!</v>
      </c>
      <c r="E70" s="50" t="s">
        <v>28</v>
      </c>
      <c r="F70" s="50" t="s">
        <v>23</v>
      </c>
      <c r="G70" s="51" t="s">
        <v>16</v>
      </c>
      <c r="H70" s="51" t="s">
        <v>17</v>
      </c>
      <c r="I70" s="51" t="s">
        <v>194</v>
      </c>
      <c r="J70" s="52">
        <v>49900</v>
      </c>
      <c r="K70" s="51" t="s">
        <v>196</v>
      </c>
      <c r="L70" s="51" t="s">
        <v>102</v>
      </c>
      <c r="M70" s="51" t="s">
        <v>197</v>
      </c>
      <c r="N70" s="51" t="s">
        <v>138</v>
      </c>
      <c r="O70" s="51" t="s">
        <v>138</v>
      </c>
      <c r="P70" s="51" t="s">
        <v>138</v>
      </c>
      <c r="Q70" s="51" t="s">
        <v>138</v>
      </c>
      <c r="R70" s="53"/>
      <c r="S70" s="53"/>
      <c r="T70" s="53"/>
      <c r="U70" s="53"/>
      <c r="V70" s="51"/>
      <c r="W70" s="51" t="s">
        <v>198</v>
      </c>
      <c r="X70" s="51" t="s">
        <v>21</v>
      </c>
    </row>
    <row r="71" spans="1:24" s="45" customFormat="1" ht="75.75" customHeight="1" x14ac:dyDescent="0.25">
      <c r="A71" s="75">
        <v>46092</v>
      </c>
      <c r="B71" s="50" t="s">
        <v>220</v>
      </c>
      <c r="C71" s="44" t="s">
        <v>14</v>
      </c>
      <c r="D71" s="78" t="e" vm="12">
        <v>#VALUE!</v>
      </c>
      <c r="E71" s="50" t="s">
        <v>28</v>
      </c>
      <c r="F71" s="50" t="s">
        <v>15</v>
      </c>
      <c r="G71" s="51" t="s">
        <v>16</v>
      </c>
      <c r="H71" s="51" t="s">
        <v>24</v>
      </c>
      <c r="I71" s="51" t="s">
        <v>187</v>
      </c>
      <c r="J71" s="52">
        <v>86436</v>
      </c>
      <c r="K71" s="51" t="s">
        <v>191</v>
      </c>
      <c r="L71" s="51" t="s">
        <v>102</v>
      </c>
      <c r="M71" s="51" t="s">
        <v>151</v>
      </c>
      <c r="N71" s="51" t="s">
        <v>192</v>
      </c>
      <c r="O71" s="51" t="s">
        <v>193</v>
      </c>
      <c r="P71" s="51">
        <v>1</v>
      </c>
      <c r="Q71" s="51"/>
      <c r="R71" s="53"/>
      <c r="S71" s="53"/>
      <c r="T71" s="53"/>
      <c r="U71" s="53"/>
      <c r="V71" s="51"/>
      <c r="W71" s="51"/>
      <c r="X71" s="51" t="s">
        <v>21</v>
      </c>
    </row>
    <row r="72" spans="1:24" s="45" customFormat="1" ht="75.75" customHeight="1" x14ac:dyDescent="0.25">
      <c r="A72" s="75">
        <v>46092</v>
      </c>
      <c r="B72" s="50" t="s">
        <v>220</v>
      </c>
      <c r="C72" s="44" t="s">
        <v>14</v>
      </c>
      <c r="D72" s="78" t="e" vm="12">
        <v>#VALUE!</v>
      </c>
      <c r="E72" s="50" t="s">
        <v>28</v>
      </c>
      <c r="F72" s="50" t="s">
        <v>23</v>
      </c>
      <c r="G72" s="50" t="s">
        <v>16</v>
      </c>
      <c r="H72" s="50" t="s">
        <v>17</v>
      </c>
      <c r="I72" s="78" t="s">
        <v>211</v>
      </c>
      <c r="J72" s="50">
        <v>54900</v>
      </c>
      <c r="K72" s="50" t="s">
        <v>213</v>
      </c>
      <c r="L72" s="50" t="s">
        <v>214</v>
      </c>
      <c r="M72" s="50" t="s">
        <v>218</v>
      </c>
      <c r="N72" s="78" t="s">
        <v>211</v>
      </c>
      <c r="O72" s="78" t="s">
        <v>211</v>
      </c>
      <c r="P72" s="78" t="s">
        <v>211</v>
      </c>
      <c r="Q72" s="78" t="s">
        <v>211</v>
      </c>
      <c r="R72" s="78" t="s">
        <v>211</v>
      </c>
      <c r="S72" s="78" t="s">
        <v>211</v>
      </c>
      <c r="T72" s="78" t="s">
        <v>211</v>
      </c>
      <c r="U72" s="78" t="s">
        <v>211</v>
      </c>
      <c r="V72" s="78" t="s">
        <v>211</v>
      </c>
      <c r="W72" s="50" t="s">
        <v>219</v>
      </c>
      <c r="X72" s="50" t="s">
        <v>21</v>
      </c>
    </row>
    <row r="73" spans="1:24" s="45" customFormat="1" ht="75.75" customHeight="1" x14ac:dyDescent="0.25">
      <c r="A73" s="75">
        <v>46092</v>
      </c>
      <c r="B73" s="50" t="s">
        <v>220</v>
      </c>
      <c r="C73" s="44" t="s">
        <v>14</v>
      </c>
      <c r="D73" s="78" t="e" vm="11">
        <v>#VALUE!</v>
      </c>
      <c r="E73" s="50" t="s">
        <v>28</v>
      </c>
      <c r="F73" s="50" t="s">
        <v>23</v>
      </c>
      <c r="G73" s="50" t="s">
        <v>16</v>
      </c>
      <c r="H73" s="50" t="s">
        <v>17</v>
      </c>
      <c r="I73" s="78" t="s">
        <v>211</v>
      </c>
      <c r="J73" s="50">
        <v>54900</v>
      </c>
      <c r="K73" s="50" t="s">
        <v>213</v>
      </c>
      <c r="L73" s="50" t="s">
        <v>214</v>
      </c>
      <c r="M73" s="50" t="s">
        <v>218</v>
      </c>
      <c r="N73" s="78" t="s">
        <v>211</v>
      </c>
      <c r="O73" s="78" t="s">
        <v>211</v>
      </c>
      <c r="P73" s="78" t="s">
        <v>211</v>
      </c>
      <c r="Q73" s="78" t="s">
        <v>211</v>
      </c>
      <c r="R73" s="78" t="s">
        <v>211</v>
      </c>
      <c r="S73" s="78" t="s">
        <v>211</v>
      </c>
      <c r="T73" s="78" t="s">
        <v>211</v>
      </c>
      <c r="U73" s="78" t="s">
        <v>211</v>
      </c>
      <c r="V73" s="78" t="s">
        <v>211</v>
      </c>
      <c r="W73" s="50" t="s">
        <v>219</v>
      </c>
      <c r="X73" s="50" t="s">
        <v>21</v>
      </c>
    </row>
    <row r="74" spans="1:24" s="45" customFormat="1" ht="75.75" customHeight="1" x14ac:dyDescent="0.25">
      <c r="A74" s="75">
        <v>46092</v>
      </c>
      <c r="B74" s="50" t="s">
        <v>221</v>
      </c>
      <c r="C74" s="44" t="s">
        <v>14</v>
      </c>
      <c r="D74" s="78" t="e" vm="7">
        <v>#VALUE!</v>
      </c>
      <c r="E74" s="50" t="s">
        <v>28</v>
      </c>
      <c r="F74" s="50" t="s">
        <v>23</v>
      </c>
      <c r="G74" s="50" t="s">
        <v>16</v>
      </c>
      <c r="H74" s="50" t="s">
        <v>17</v>
      </c>
      <c r="I74" s="78" t="s">
        <v>211</v>
      </c>
      <c r="J74" s="50">
        <v>54900</v>
      </c>
      <c r="K74" s="50" t="s">
        <v>213</v>
      </c>
      <c r="L74" s="50" t="s">
        <v>214</v>
      </c>
      <c r="M74" s="50" t="s">
        <v>218</v>
      </c>
      <c r="N74" s="78" t="s">
        <v>211</v>
      </c>
      <c r="O74" s="78" t="s">
        <v>211</v>
      </c>
      <c r="P74" s="78" t="s">
        <v>211</v>
      </c>
      <c r="Q74" s="78" t="s">
        <v>211</v>
      </c>
      <c r="R74" s="78" t="s">
        <v>211</v>
      </c>
      <c r="S74" s="78" t="s">
        <v>211</v>
      </c>
      <c r="T74" s="78" t="s">
        <v>211</v>
      </c>
      <c r="U74" s="78" t="s">
        <v>211</v>
      </c>
      <c r="V74" s="78" t="s">
        <v>211</v>
      </c>
      <c r="W74" s="50" t="s">
        <v>219</v>
      </c>
      <c r="X74" s="50" t="s">
        <v>21</v>
      </c>
    </row>
    <row r="75" spans="1:24" s="45" customFormat="1" ht="75.75" customHeight="1" x14ac:dyDescent="0.25">
      <c r="A75" s="43">
        <v>46092</v>
      </c>
      <c r="B75" s="50" t="s">
        <v>222</v>
      </c>
      <c r="C75" s="44" t="s">
        <v>14</v>
      </c>
      <c r="D75" s="50" t="e" vm="5">
        <v>#VALUE!</v>
      </c>
      <c r="E75" s="50" t="s">
        <v>41</v>
      </c>
      <c r="F75" s="50" t="s">
        <v>23</v>
      </c>
      <c r="G75" s="51" t="s">
        <v>16</v>
      </c>
      <c r="H75" s="51" t="s">
        <v>17</v>
      </c>
      <c r="I75" s="51"/>
      <c r="J75" s="52">
        <v>94990</v>
      </c>
      <c r="K75" s="51" t="s">
        <v>223</v>
      </c>
      <c r="L75" s="51" t="s">
        <v>224</v>
      </c>
      <c r="M75" s="51">
        <v>949990</v>
      </c>
      <c r="N75" s="51" t="s">
        <v>138</v>
      </c>
      <c r="O75" s="51" t="s">
        <v>138</v>
      </c>
      <c r="P75" s="51" t="s">
        <v>138</v>
      </c>
      <c r="Q75" s="51" t="s">
        <v>138</v>
      </c>
      <c r="R75" s="53" t="s">
        <v>18</v>
      </c>
      <c r="S75" s="53">
        <v>51900</v>
      </c>
      <c r="T75" s="51" t="s">
        <v>138</v>
      </c>
      <c r="U75" s="51" t="s">
        <v>138</v>
      </c>
      <c r="V75" s="51" t="s">
        <v>225</v>
      </c>
      <c r="W75" s="51"/>
      <c r="X75" s="51"/>
    </row>
    <row r="76" spans="1:24" s="45" customFormat="1" ht="75.75" customHeight="1" x14ac:dyDescent="0.25">
      <c r="A76" s="43">
        <v>46092</v>
      </c>
      <c r="B76" s="44" t="s">
        <v>154</v>
      </c>
      <c r="C76" s="44" t="s">
        <v>47</v>
      </c>
      <c r="D76" s="44" t="e" vm="1">
        <v>#VALUE!</v>
      </c>
      <c r="E76" s="44" t="s">
        <v>41</v>
      </c>
      <c r="F76" s="44" t="s">
        <v>15</v>
      </c>
      <c r="G76" s="56" t="s">
        <v>16</v>
      </c>
      <c r="H76" s="56" t="s">
        <v>17</v>
      </c>
      <c r="I76" s="56" t="s">
        <v>165</v>
      </c>
      <c r="J76" s="57">
        <v>30000</v>
      </c>
      <c r="K76" s="56"/>
      <c r="L76" s="56"/>
      <c r="M76" s="56" t="s">
        <v>138</v>
      </c>
      <c r="N76" s="56" t="s">
        <v>165</v>
      </c>
      <c r="O76" s="56">
        <v>80</v>
      </c>
      <c r="P76" s="56">
        <v>1</v>
      </c>
      <c r="Q76" s="56" t="s">
        <v>138</v>
      </c>
      <c r="R76" s="56" t="s">
        <v>138</v>
      </c>
      <c r="S76" s="58">
        <v>0</v>
      </c>
      <c r="T76" s="56" t="s">
        <v>138</v>
      </c>
      <c r="U76" s="56" t="s">
        <v>138</v>
      </c>
      <c r="V76" s="56" t="s">
        <v>138</v>
      </c>
      <c r="W76" s="56" t="s">
        <v>165</v>
      </c>
      <c r="X76" s="56" t="s">
        <v>21</v>
      </c>
    </row>
    <row r="77" spans="1:24" s="45" customFormat="1" ht="75.75" customHeight="1" x14ac:dyDescent="0.25">
      <c r="A77" s="43">
        <v>46092</v>
      </c>
      <c r="B77" s="50" t="s">
        <v>133</v>
      </c>
      <c r="C77" s="44" t="s">
        <v>14</v>
      </c>
      <c r="D77" s="50" t="e" vm="2">
        <v>#VALUE!</v>
      </c>
      <c r="E77" s="50" t="s">
        <v>41</v>
      </c>
      <c r="F77" s="50" t="s">
        <v>23</v>
      </c>
      <c r="G77" s="51" t="s">
        <v>16</v>
      </c>
      <c r="H77" s="51" t="s">
        <v>17</v>
      </c>
      <c r="I77" s="51" t="s">
        <v>226</v>
      </c>
      <c r="J77" s="52">
        <v>75000</v>
      </c>
      <c r="K77" s="51" t="s">
        <v>227</v>
      </c>
      <c r="L77" s="51" t="s">
        <v>228</v>
      </c>
      <c r="M77" s="51" t="s">
        <v>229</v>
      </c>
      <c r="N77" s="51" t="s">
        <v>138</v>
      </c>
      <c r="O77" s="51">
        <v>100</v>
      </c>
      <c r="P77" s="51">
        <v>2</v>
      </c>
      <c r="Q77" s="53" t="s">
        <v>138</v>
      </c>
      <c r="R77" s="53" t="s">
        <v>138</v>
      </c>
      <c r="S77" s="53" t="s">
        <v>138</v>
      </c>
      <c r="T77" s="53" t="s">
        <v>138</v>
      </c>
      <c r="U77" s="53" t="s">
        <v>138</v>
      </c>
      <c r="V77" s="53" t="s">
        <v>138</v>
      </c>
      <c r="W77" s="51" t="s">
        <v>230</v>
      </c>
      <c r="X77" s="51" t="s">
        <v>21</v>
      </c>
    </row>
    <row r="78" spans="1:24" s="45" customFormat="1" ht="75.75" customHeight="1" x14ac:dyDescent="0.25">
      <c r="A78" s="43">
        <v>46092</v>
      </c>
      <c r="B78" s="50" t="s">
        <v>133</v>
      </c>
      <c r="C78" s="44" t="s">
        <v>14</v>
      </c>
      <c r="D78" s="50" t="e" vm="3">
        <v>#VALUE!</v>
      </c>
      <c r="E78" s="50" t="s">
        <v>41</v>
      </c>
      <c r="F78" s="50" t="s">
        <v>23</v>
      </c>
      <c r="G78" s="51" t="s">
        <v>16</v>
      </c>
      <c r="H78" s="51" t="s">
        <v>17</v>
      </c>
      <c r="I78" s="51" t="s">
        <v>231</v>
      </c>
      <c r="J78" s="52">
        <v>120000</v>
      </c>
      <c r="K78" s="51" t="s">
        <v>227</v>
      </c>
      <c r="L78" s="51" t="s">
        <v>228</v>
      </c>
      <c r="M78" s="51" t="s">
        <v>232</v>
      </c>
      <c r="N78" s="51" t="s">
        <v>138</v>
      </c>
      <c r="O78" s="51">
        <v>100</v>
      </c>
      <c r="P78" s="51">
        <v>1</v>
      </c>
      <c r="Q78" s="53" t="s">
        <v>233</v>
      </c>
      <c r="R78" s="53" t="s">
        <v>138</v>
      </c>
      <c r="S78" s="53" t="s">
        <v>138</v>
      </c>
      <c r="T78" s="53" t="s">
        <v>138</v>
      </c>
      <c r="U78" s="53" t="s">
        <v>138</v>
      </c>
      <c r="V78" s="53" t="s">
        <v>138</v>
      </c>
      <c r="W78" s="51" t="s">
        <v>234</v>
      </c>
      <c r="X78" s="51" t="s">
        <v>21</v>
      </c>
    </row>
    <row r="79" spans="1:24" s="45" customFormat="1" ht="75.75" customHeight="1" x14ac:dyDescent="0.25">
      <c r="A79" s="43">
        <v>46092</v>
      </c>
      <c r="B79" s="50" t="s">
        <v>222</v>
      </c>
      <c r="C79" s="44" t="s">
        <v>14</v>
      </c>
      <c r="D79" s="50" t="e" vm="5">
        <v>#VALUE!</v>
      </c>
      <c r="E79" s="50" t="s">
        <v>41</v>
      </c>
      <c r="F79" s="50" t="s">
        <v>23</v>
      </c>
      <c r="G79" s="51" t="s">
        <v>16</v>
      </c>
      <c r="H79" s="51" t="s">
        <v>17</v>
      </c>
      <c r="I79" s="51" t="s">
        <v>235</v>
      </c>
      <c r="J79" s="52">
        <v>84900</v>
      </c>
      <c r="K79" s="51" t="s">
        <v>236</v>
      </c>
      <c r="L79" s="51" t="s">
        <v>237</v>
      </c>
      <c r="M79" s="51" t="s">
        <v>151</v>
      </c>
      <c r="N79" s="51" t="s">
        <v>138</v>
      </c>
      <c r="O79" s="51" t="s">
        <v>138</v>
      </c>
      <c r="P79" s="51">
        <v>0</v>
      </c>
      <c r="Q79" s="53">
        <v>0</v>
      </c>
      <c r="R79" s="53" t="s">
        <v>18</v>
      </c>
      <c r="S79" s="53">
        <v>27500</v>
      </c>
      <c r="T79" s="53" t="s">
        <v>138</v>
      </c>
      <c r="U79" s="53" t="s">
        <v>138</v>
      </c>
      <c r="V79" s="53" t="s">
        <v>138</v>
      </c>
      <c r="W79" s="53" t="s">
        <v>138</v>
      </c>
      <c r="X79" s="51"/>
    </row>
    <row r="80" spans="1:24" s="45" customFormat="1" ht="75.75" customHeight="1" x14ac:dyDescent="0.25">
      <c r="A80" s="43">
        <v>46092</v>
      </c>
      <c r="B80" s="50" t="s">
        <v>133</v>
      </c>
      <c r="C80" s="44" t="s">
        <v>14</v>
      </c>
      <c r="D80" s="50" t="e" vm="2">
        <v>#VALUE!</v>
      </c>
      <c r="E80" s="50" t="s">
        <v>41</v>
      </c>
      <c r="F80" s="50" t="s">
        <v>23</v>
      </c>
      <c r="G80" s="51" t="s">
        <v>16</v>
      </c>
      <c r="H80" s="51" t="s">
        <v>17</v>
      </c>
      <c r="I80" s="51" t="s">
        <v>238</v>
      </c>
      <c r="J80" s="52">
        <v>24000</v>
      </c>
      <c r="K80" s="51" t="s">
        <v>239</v>
      </c>
      <c r="L80" s="51"/>
      <c r="M80" s="51" t="s">
        <v>138</v>
      </c>
      <c r="N80" s="51" t="s">
        <v>238</v>
      </c>
      <c r="O80" s="51">
        <v>100</v>
      </c>
      <c r="P80" s="51">
        <v>1</v>
      </c>
      <c r="Q80" s="53" t="s">
        <v>138</v>
      </c>
      <c r="R80" s="53" t="s">
        <v>138</v>
      </c>
      <c r="S80" s="53" t="s">
        <v>138</v>
      </c>
      <c r="T80" s="53" t="s">
        <v>138</v>
      </c>
      <c r="U80" s="53" t="s">
        <v>138</v>
      </c>
      <c r="V80" s="53" t="s">
        <v>138</v>
      </c>
      <c r="W80" s="51" t="s">
        <v>240</v>
      </c>
      <c r="X80" s="51" t="s">
        <v>21</v>
      </c>
    </row>
    <row r="81" spans="1:24" s="45" customFormat="1" ht="75.75" customHeight="1" x14ac:dyDescent="0.25">
      <c r="A81" s="43">
        <v>46092</v>
      </c>
      <c r="B81" s="50" t="s">
        <v>133</v>
      </c>
      <c r="C81" s="44" t="s">
        <v>14</v>
      </c>
      <c r="D81" s="50" t="e" vm="2">
        <v>#VALUE!</v>
      </c>
      <c r="E81" s="50" t="s">
        <v>41</v>
      </c>
      <c r="F81" s="50" t="s">
        <v>23</v>
      </c>
      <c r="G81" s="51" t="s">
        <v>16</v>
      </c>
      <c r="H81" s="51" t="s">
        <v>24</v>
      </c>
      <c r="I81" s="51" t="s">
        <v>241</v>
      </c>
      <c r="J81" s="52">
        <v>60000</v>
      </c>
      <c r="K81" s="51" t="s">
        <v>239</v>
      </c>
      <c r="L81" s="51" t="s">
        <v>138</v>
      </c>
      <c r="M81" s="51" t="s">
        <v>242</v>
      </c>
      <c r="N81" s="51" t="s">
        <v>241</v>
      </c>
      <c r="O81" s="51">
        <v>80</v>
      </c>
      <c r="P81" s="51">
        <v>1</v>
      </c>
      <c r="Q81" s="53" t="s">
        <v>138</v>
      </c>
      <c r="R81" s="53" t="s">
        <v>138</v>
      </c>
      <c r="S81" s="53" t="s">
        <v>138</v>
      </c>
      <c r="T81" s="53" t="s">
        <v>138</v>
      </c>
      <c r="U81" s="53" t="s">
        <v>138</v>
      </c>
      <c r="V81" s="53" t="s">
        <v>138</v>
      </c>
      <c r="W81" s="51" t="s">
        <v>241</v>
      </c>
      <c r="X81" s="51" t="s">
        <v>21</v>
      </c>
    </row>
    <row r="82" spans="1:24" s="45" customFormat="1" ht="75.75" customHeight="1" x14ac:dyDescent="0.25">
      <c r="A82" s="43">
        <v>46092</v>
      </c>
      <c r="B82" s="50" t="s">
        <v>133</v>
      </c>
      <c r="C82" s="44" t="s">
        <v>14</v>
      </c>
      <c r="D82" s="50" t="e" vm="2">
        <v>#VALUE!</v>
      </c>
      <c r="E82" s="50" t="s">
        <v>41</v>
      </c>
      <c r="F82" s="50" t="s">
        <v>23</v>
      </c>
      <c r="G82" s="51" t="s">
        <v>16</v>
      </c>
      <c r="H82" s="51" t="s">
        <v>24</v>
      </c>
      <c r="I82" s="51" t="s">
        <v>241</v>
      </c>
      <c r="J82" s="52">
        <v>75800</v>
      </c>
      <c r="K82" s="51" t="s">
        <v>239</v>
      </c>
      <c r="L82" s="51" t="s">
        <v>138</v>
      </c>
      <c r="M82" s="51" t="s">
        <v>243</v>
      </c>
      <c r="N82" s="51" t="s">
        <v>241</v>
      </c>
      <c r="O82" s="51">
        <v>80</v>
      </c>
      <c r="P82" s="51">
        <v>1</v>
      </c>
      <c r="Q82" s="53" t="s">
        <v>138</v>
      </c>
      <c r="R82" s="53" t="s">
        <v>138</v>
      </c>
      <c r="S82" s="53" t="s">
        <v>138</v>
      </c>
      <c r="T82" s="53" t="s">
        <v>138</v>
      </c>
      <c r="U82" s="53" t="s">
        <v>138</v>
      </c>
      <c r="V82" s="53" t="s">
        <v>138</v>
      </c>
      <c r="W82" s="51" t="s">
        <v>241</v>
      </c>
      <c r="X82" s="51" t="s">
        <v>21</v>
      </c>
    </row>
    <row r="83" spans="1:24" s="45" customFormat="1" ht="75.75" customHeight="1" x14ac:dyDescent="0.25">
      <c r="A83" s="43">
        <v>46092</v>
      </c>
      <c r="B83" s="50" t="s">
        <v>133</v>
      </c>
      <c r="C83" s="44" t="s">
        <v>14</v>
      </c>
      <c r="D83" s="50" t="e" vm="2">
        <v>#VALUE!</v>
      </c>
      <c r="E83" s="50" t="s">
        <v>41</v>
      </c>
      <c r="F83" s="50" t="s">
        <v>23</v>
      </c>
      <c r="G83" s="51" t="s">
        <v>16</v>
      </c>
      <c r="H83" s="51" t="s">
        <v>24</v>
      </c>
      <c r="I83" s="51" t="s">
        <v>241</v>
      </c>
      <c r="J83" s="52">
        <v>97800</v>
      </c>
      <c r="K83" s="51" t="s">
        <v>239</v>
      </c>
      <c r="L83" s="51" t="s">
        <v>138</v>
      </c>
      <c r="M83" s="51" t="s">
        <v>244</v>
      </c>
      <c r="N83" s="51" t="s">
        <v>241</v>
      </c>
      <c r="O83" s="51">
        <v>80</v>
      </c>
      <c r="P83" s="51">
        <v>1</v>
      </c>
      <c r="Q83" s="53" t="s">
        <v>138</v>
      </c>
      <c r="R83" s="53" t="s">
        <v>138</v>
      </c>
      <c r="S83" s="53" t="s">
        <v>138</v>
      </c>
      <c r="T83" s="53" t="s">
        <v>138</v>
      </c>
      <c r="U83" s="53" t="s">
        <v>138</v>
      </c>
      <c r="V83" s="53" t="s">
        <v>138</v>
      </c>
      <c r="W83" s="51" t="s">
        <v>241</v>
      </c>
      <c r="X83" s="51" t="s">
        <v>21</v>
      </c>
    </row>
    <row r="84" spans="1:24" s="45" customFormat="1" ht="75.75" customHeight="1" x14ac:dyDescent="0.25">
      <c r="A84" s="43">
        <v>46092</v>
      </c>
      <c r="B84" s="50" t="s">
        <v>222</v>
      </c>
      <c r="C84" s="44" t="s">
        <v>14</v>
      </c>
      <c r="D84" s="50"/>
      <c r="E84" s="50"/>
      <c r="F84" s="50"/>
      <c r="G84" s="51"/>
      <c r="H84" s="51"/>
      <c r="I84" s="51"/>
      <c r="J84" s="52"/>
      <c r="K84" s="51"/>
      <c r="L84" s="51"/>
      <c r="M84" s="51"/>
      <c r="N84" s="51"/>
      <c r="O84" s="51"/>
      <c r="P84" s="51" t="str">
        <f>SUBSTITUTE(DatosHogar[[#This Row],[Observación]], "008 - Campaña Escarlata Exclusiva R2", " HD - 1 Deco Digital")</f>
        <v/>
      </c>
      <c r="Q84" s="53"/>
      <c r="R84" s="53"/>
      <c r="S84" s="53"/>
      <c r="T84" s="53"/>
      <c r="U84" s="51"/>
      <c r="V84" s="51"/>
      <c r="W84" s="51"/>
      <c r="X84" s="51"/>
    </row>
    <row r="85" spans="1:24" s="45" customFormat="1" ht="75.75" customHeight="1" x14ac:dyDescent="0.25">
      <c r="A85" s="43">
        <v>46092</v>
      </c>
      <c r="B85" s="50" t="s">
        <v>133</v>
      </c>
      <c r="C85" s="44" t="s">
        <v>14</v>
      </c>
      <c r="D85" s="50" t="e" vm="3">
        <v>#VALUE!</v>
      </c>
      <c r="E85" s="50" t="s">
        <v>41</v>
      </c>
      <c r="F85" s="50" t="s">
        <v>23</v>
      </c>
      <c r="G85" s="51" t="s">
        <v>16</v>
      </c>
      <c r="H85" s="51" t="s">
        <v>24</v>
      </c>
      <c r="I85" s="51" t="s">
        <v>241</v>
      </c>
      <c r="J85" s="52">
        <v>60000</v>
      </c>
      <c r="K85" s="51" t="s">
        <v>239</v>
      </c>
      <c r="L85" s="51" t="s">
        <v>138</v>
      </c>
      <c r="M85" s="51" t="s">
        <v>242</v>
      </c>
      <c r="N85" s="51" t="s">
        <v>241</v>
      </c>
      <c r="O85" s="51">
        <v>80</v>
      </c>
      <c r="P85" s="51">
        <v>1</v>
      </c>
      <c r="Q85" s="53" t="s">
        <v>138</v>
      </c>
      <c r="R85" s="53" t="s">
        <v>138</v>
      </c>
      <c r="S85" s="53" t="s">
        <v>138</v>
      </c>
      <c r="T85" s="53" t="s">
        <v>138</v>
      </c>
      <c r="U85" s="53" t="s">
        <v>138</v>
      </c>
      <c r="V85" s="53" t="s">
        <v>138</v>
      </c>
      <c r="W85" s="51" t="s">
        <v>241</v>
      </c>
      <c r="X85" s="51" t="s">
        <v>21</v>
      </c>
    </row>
    <row r="86" spans="1:24" s="45" customFormat="1" ht="75.75" customHeight="1" x14ac:dyDescent="0.25">
      <c r="A86" s="43">
        <v>46092</v>
      </c>
      <c r="B86" s="50" t="s">
        <v>133</v>
      </c>
      <c r="C86" s="44" t="s">
        <v>14</v>
      </c>
      <c r="D86" s="50" t="e" vm="3">
        <v>#VALUE!</v>
      </c>
      <c r="E86" s="50" t="s">
        <v>41</v>
      </c>
      <c r="F86" s="50" t="s">
        <v>23</v>
      </c>
      <c r="G86" s="51" t="s">
        <v>16</v>
      </c>
      <c r="H86" s="51" t="s">
        <v>24</v>
      </c>
      <c r="I86" s="51" t="s">
        <v>241</v>
      </c>
      <c r="J86" s="52">
        <v>75800</v>
      </c>
      <c r="K86" s="51" t="s">
        <v>239</v>
      </c>
      <c r="L86" s="51" t="s">
        <v>138</v>
      </c>
      <c r="M86" s="51" t="s">
        <v>243</v>
      </c>
      <c r="N86" s="51" t="s">
        <v>241</v>
      </c>
      <c r="O86" s="51">
        <v>80</v>
      </c>
      <c r="P86" s="51">
        <v>1</v>
      </c>
      <c r="Q86" s="53" t="s">
        <v>138</v>
      </c>
      <c r="R86" s="53" t="s">
        <v>138</v>
      </c>
      <c r="S86" s="53" t="s">
        <v>138</v>
      </c>
      <c r="T86" s="53" t="s">
        <v>138</v>
      </c>
      <c r="U86" s="53" t="s">
        <v>138</v>
      </c>
      <c r="V86" s="53" t="s">
        <v>138</v>
      </c>
      <c r="W86" s="51" t="s">
        <v>241</v>
      </c>
      <c r="X86" s="51" t="s">
        <v>21</v>
      </c>
    </row>
    <row r="87" spans="1:24" s="45" customFormat="1" ht="75.75" customHeight="1" x14ac:dyDescent="0.25">
      <c r="A87" s="43">
        <v>46092</v>
      </c>
      <c r="B87" s="50" t="s">
        <v>133</v>
      </c>
      <c r="C87" s="44" t="s">
        <v>14</v>
      </c>
      <c r="D87" s="50" t="e" vm="3">
        <v>#VALUE!</v>
      </c>
      <c r="E87" s="50" t="s">
        <v>41</v>
      </c>
      <c r="F87" s="50" t="s">
        <v>23</v>
      </c>
      <c r="G87" s="51" t="s">
        <v>16</v>
      </c>
      <c r="H87" s="51" t="s">
        <v>24</v>
      </c>
      <c r="I87" s="51" t="s">
        <v>241</v>
      </c>
      <c r="J87" s="52">
        <v>97800</v>
      </c>
      <c r="K87" s="51" t="s">
        <v>239</v>
      </c>
      <c r="L87" s="51" t="s">
        <v>138</v>
      </c>
      <c r="M87" s="51" t="s">
        <v>244</v>
      </c>
      <c r="N87" s="51" t="s">
        <v>241</v>
      </c>
      <c r="O87" s="51">
        <v>80</v>
      </c>
      <c r="P87" s="51">
        <v>1</v>
      </c>
      <c r="Q87" s="53" t="s">
        <v>138</v>
      </c>
      <c r="R87" s="53" t="s">
        <v>138</v>
      </c>
      <c r="S87" s="53" t="s">
        <v>138</v>
      </c>
      <c r="T87" s="53" t="s">
        <v>138</v>
      </c>
      <c r="U87" s="53" t="s">
        <v>138</v>
      </c>
      <c r="V87" s="53" t="s">
        <v>138</v>
      </c>
      <c r="W87" s="51" t="s">
        <v>241</v>
      </c>
      <c r="X87" s="51" t="s">
        <v>21</v>
      </c>
    </row>
    <row r="88" spans="1:24" s="45" customFormat="1" ht="75.75" customHeight="1" x14ac:dyDescent="0.25">
      <c r="A88" s="43">
        <v>46092</v>
      </c>
      <c r="B88" s="50" t="s">
        <v>133</v>
      </c>
      <c r="C88" s="44" t="s">
        <v>14</v>
      </c>
      <c r="D88" s="50" t="e" vm="2">
        <v>#VALUE!</v>
      </c>
      <c r="E88" s="50" t="s">
        <v>41</v>
      </c>
      <c r="F88" s="50" t="s">
        <v>23</v>
      </c>
      <c r="G88" s="51" t="s">
        <v>16</v>
      </c>
      <c r="H88" s="51" t="s">
        <v>17</v>
      </c>
      <c r="I88" s="51" t="s">
        <v>245</v>
      </c>
      <c r="J88" s="52">
        <v>78000</v>
      </c>
      <c r="K88" s="51" t="s">
        <v>239</v>
      </c>
      <c r="L88" s="51" t="s">
        <v>138</v>
      </c>
      <c r="M88" s="51" t="s">
        <v>242</v>
      </c>
      <c r="N88" s="51" t="s">
        <v>245</v>
      </c>
      <c r="O88" s="51" t="s">
        <v>138</v>
      </c>
      <c r="P88" s="51" t="s">
        <v>138</v>
      </c>
      <c r="Q88" s="53" t="s">
        <v>138</v>
      </c>
      <c r="R88" s="53" t="s">
        <v>138</v>
      </c>
      <c r="S88" s="53" t="s">
        <v>138</v>
      </c>
      <c r="T88" s="53" t="s">
        <v>138</v>
      </c>
      <c r="U88" s="53" t="s">
        <v>138</v>
      </c>
      <c r="V88" s="53" t="s">
        <v>138</v>
      </c>
      <c r="W88" s="51" t="s">
        <v>245</v>
      </c>
      <c r="X88" s="51" t="s">
        <v>21</v>
      </c>
    </row>
    <row r="89" spans="1:24" s="45" customFormat="1" ht="75.75" customHeight="1" x14ac:dyDescent="0.25">
      <c r="A89" s="43">
        <v>46092</v>
      </c>
      <c r="B89" s="50" t="s">
        <v>133</v>
      </c>
      <c r="C89" s="44" t="s">
        <v>14</v>
      </c>
      <c r="D89" s="50" t="e" vm="2">
        <v>#VALUE!</v>
      </c>
      <c r="E89" s="50" t="s">
        <v>41</v>
      </c>
      <c r="F89" s="50" t="s">
        <v>23</v>
      </c>
      <c r="G89" s="51" t="s">
        <v>16</v>
      </c>
      <c r="H89" s="51" t="s">
        <v>17</v>
      </c>
      <c r="I89" s="51" t="s">
        <v>245</v>
      </c>
      <c r="J89" s="52">
        <v>99000</v>
      </c>
      <c r="K89" s="51" t="s">
        <v>239</v>
      </c>
      <c r="L89" s="51" t="s">
        <v>138</v>
      </c>
      <c r="M89" s="51" t="s">
        <v>243</v>
      </c>
      <c r="N89" s="51" t="s">
        <v>245</v>
      </c>
      <c r="O89" s="51" t="s">
        <v>138</v>
      </c>
      <c r="P89" s="51" t="s">
        <v>138</v>
      </c>
      <c r="Q89" s="53" t="s">
        <v>138</v>
      </c>
      <c r="R89" s="53" t="s">
        <v>138</v>
      </c>
      <c r="S89" s="53" t="s">
        <v>138</v>
      </c>
      <c r="T89" s="53" t="s">
        <v>138</v>
      </c>
      <c r="U89" s="53" t="s">
        <v>138</v>
      </c>
      <c r="V89" s="53" t="s">
        <v>138</v>
      </c>
      <c r="W89" s="51" t="s">
        <v>245</v>
      </c>
      <c r="X89" s="51" t="s">
        <v>21</v>
      </c>
    </row>
    <row r="90" spans="1:24" s="45" customFormat="1" ht="75.75" customHeight="1" x14ac:dyDescent="0.25">
      <c r="A90" s="43">
        <v>46092</v>
      </c>
      <c r="B90" s="50" t="s">
        <v>133</v>
      </c>
      <c r="C90" s="44" t="s">
        <v>14</v>
      </c>
      <c r="D90" s="50" t="e" vm="2">
        <v>#VALUE!</v>
      </c>
      <c r="E90" s="50" t="s">
        <v>41</v>
      </c>
      <c r="F90" s="50" t="s">
        <v>23</v>
      </c>
      <c r="G90" s="51" t="s">
        <v>16</v>
      </c>
      <c r="H90" s="51" t="s">
        <v>17</v>
      </c>
      <c r="I90" s="51" t="s">
        <v>245</v>
      </c>
      <c r="J90" s="52">
        <v>119000</v>
      </c>
      <c r="K90" s="51" t="s">
        <v>239</v>
      </c>
      <c r="L90" s="51" t="s">
        <v>138</v>
      </c>
      <c r="M90" s="51" t="s">
        <v>244</v>
      </c>
      <c r="N90" s="51" t="s">
        <v>245</v>
      </c>
      <c r="O90" s="51" t="s">
        <v>138</v>
      </c>
      <c r="P90" s="51" t="s">
        <v>138</v>
      </c>
      <c r="Q90" s="53" t="s">
        <v>138</v>
      </c>
      <c r="R90" s="53" t="s">
        <v>138</v>
      </c>
      <c r="S90" s="53" t="s">
        <v>138</v>
      </c>
      <c r="T90" s="53" t="s">
        <v>138</v>
      </c>
      <c r="U90" s="53" t="s">
        <v>138</v>
      </c>
      <c r="V90" s="53" t="s">
        <v>138</v>
      </c>
      <c r="W90" s="51" t="s">
        <v>245</v>
      </c>
      <c r="X90" s="51" t="s">
        <v>21</v>
      </c>
    </row>
    <row r="91" spans="1:24" s="45" customFormat="1" ht="75.75" customHeight="1" x14ac:dyDescent="0.25">
      <c r="A91" s="43">
        <v>46092</v>
      </c>
      <c r="B91" s="50" t="s">
        <v>133</v>
      </c>
      <c r="C91" s="44" t="s">
        <v>14</v>
      </c>
      <c r="D91" s="50" t="e" vm="2">
        <v>#VALUE!</v>
      </c>
      <c r="E91" s="50" t="s">
        <v>41</v>
      </c>
      <c r="F91" s="50" t="s">
        <v>23</v>
      </c>
      <c r="G91" s="51" t="s">
        <v>16</v>
      </c>
      <c r="H91" s="51" t="s">
        <v>17</v>
      </c>
      <c r="I91" s="51" t="s">
        <v>245</v>
      </c>
      <c r="J91" s="52">
        <v>61000</v>
      </c>
      <c r="K91" s="51" t="s">
        <v>239</v>
      </c>
      <c r="L91" s="51" t="s">
        <v>138</v>
      </c>
      <c r="M91" s="51" t="s">
        <v>246</v>
      </c>
      <c r="N91" s="51" t="s">
        <v>245</v>
      </c>
      <c r="O91" s="51" t="s">
        <v>138</v>
      </c>
      <c r="P91" s="51" t="s">
        <v>138</v>
      </c>
      <c r="Q91" s="53" t="s">
        <v>138</v>
      </c>
      <c r="R91" s="53" t="s">
        <v>138</v>
      </c>
      <c r="S91" s="53" t="s">
        <v>138</v>
      </c>
      <c r="T91" s="53" t="s">
        <v>138</v>
      </c>
      <c r="U91" s="53" t="s">
        <v>138</v>
      </c>
      <c r="V91" s="53" t="s">
        <v>138</v>
      </c>
      <c r="W91" s="51" t="s">
        <v>245</v>
      </c>
      <c r="X91" s="51" t="s">
        <v>21</v>
      </c>
    </row>
    <row r="92" spans="1:24" s="45" customFormat="1" ht="75.75" customHeight="1" x14ac:dyDescent="0.25">
      <c r="A92" s="43">
        <v>46092</v>
      </c>
      <c r="B92" s="50" t="s">
        <v>133</v>
      </c>
      <c r="C92" s="44" t="s">
        <v>14</v>
      </c>
      <c r="D92" s="50" t="e" vm="3">
        <v>#VALUE!</v>
      </c>
      <c r="E92" s="50" t="s">
        <v>41</v>
      </c>
      <c r="F92" s="50" t="s">
        <v>23</v>
      </c>
      <c r="G92" s="51" t="s">
        <v>16</v>
      </c>
      <c r="H92" s="51" t="s">
        <v>17</v>
      </c>
      <c r="I92" s="51" t="s">
        <v>245</v>
      </c>
      <c r="J92" s="52">
        <v>78000</v>
      </c>
      <c r="K92" s="51" t="s">
        <v>239</v>
      </c>
      <c r="L92" s="51" t="s">
        <v>138</v>
      </c>
      <c r="M92" s="51" t="s">
        <v>242</v>
      </c>
      <c r="N92" s="51" t="s">
        <v>245</v>
      </c>
      <c r="O92" s="51" t="s">
        <v>138</v>
      </c>
      <c r="P92" s="51" t="s">
        <v>138</v>
      </c>
      <c r="Q92" s="53" t="s">
        <v>138</v>
      </c>
      <c r="R92" s="53" t="s">
        <v>138</v>
      </c>
      <c r="S92" s="53" t="s">
        <v>138</v>
      </c>
      <c r="T92" s="53" t="s">
        <v>138</v>
      </c>
      <c r="U92" s="53" t="s">
        <v>138</v>
      </c>
      <c r="V92" s="53" t="s">
        <v>138</v>
      </c>
      <c r="W92" s="51" t="s">
        <v>245</v>
      </c>
      <c r="X92" s="51" t="s">
        <v>21</v>
      </c>
    </row>
    <row r="93" spans="1:24" s="45" customFormat="1" ht="75.75" customHeight="1" x14ac:dyDescent="0.25">
      <c r="A93" s="43">
        <v>46092</v>
      </c>
      <c r="B93" s="50" t="s">
        <v>133</v>
      </c>
      <c r="C93" s="44" t="s">
        <v>14</v>
      </c>
      <c r="D93" s="50" t="e" vm="3">
        <v>#VALUE!</v>
      </c>
      <c r="E93" s="50" t="s">
        <v>41</v>
      </c>
      <c r="F93" s="50" t="s">
        <v>23</v>
      </c>
      <c r="G93" s="51" t="s">
        <v>16</v>
      </c>
      <c r="H93" s="51" t="s">
        <v>17</v>
      </c>
      <c r="I93" s="51" t="s">
        <v>245</v>
      </c>
      <c r="J93" s="52">
        <v>99000</v>
      </c>
      <c r="K93" s="51" t="s">
        <v>239</v>
      </c>
      <c r="L93" s="51" t="s">
        <v>138</v>
      </c>
      <c r="M93" s="51" t="s">
        <v>243</v>
      </c>
      <c r="N93" s="51" t="s">
        <v>245</v>
      </c>
      <c r="O93" s="51" t="s">
        <v>138</v>
      </c>
      <c r="P93" s="51" t="s">
        <v>138</v>
      </c>
      <c r="Q93" s="53" t="s">
        <v>138</v>
      </c>
      <c r="R93" s="53" t="s">
        <v>138</v>
      </c>
      <c r="S93" s="53" t="s">
        <v>138</v>
      </c>
      <c r="T93" s="53" t="s">
        <v>138</v>
      </c>
      <c r="U93" s="53" t="s">
        <v>138</v>
      </c>
      <c r="V93" s="53" t="s">
        <v>138</v>
      </c>
      <c r="W93" s="51" t="s">
        <v>245</v>
      </c>
      <c r="X93" s="51" t="s">
        <v>21</v>
      </c>
    </row>
    <row r="94" spans="1:24" s="45" customFormat="1" ht="75.75" customHeight="1" x14ac:dyDescent="0.25">
      <c r="A94" s="43">
        <v>46092</v>
      </c>
      <c r="B94" s="50" t="s">
        <v>133</v>
      </c>
      <c r="C94" s="44" t="s">
        <v>14</v>
      </c>
      <c r="D94" s="50" t="e" vm="3">
        <v>#VALUE!</v>
      </c>
      <c r="E94" s="50" t="s">
        <v>41</v>
      </c>
      <c r="F94" s="50" t="s">
        <v>23</v>
      </c>
      <c r="G94" s="51" t="s">
        <v>16</v>
      </c>
      <c r="H94" s="51" t="s">
        <v>17</v>
      </c>
      <c r="I94" s="51" t="s">
        <v>245</v>
      </c>
      <c r="J94" s="52">
        <v>119000</v>
      </c>
      <c r="K94" s="51" t="s">
        <v>239</v>
      </c>
      <c r="L94" s="51" t="s">
        <v>138</v>
      </c>
      <c r="M94" s="51" t="s">
        <v>244</v>
      </c>
      <c r="N94" s="51" t="s">
        <v>245</v>
      </c>
      <c r="O94" s="51" t="s">
        <v>138</v>
      </c>
      <c r="P94" s="51" t="s">
        <v>138</v>
      </c>
      <c r="Q94" s="53" t="s">
        <v>138</v>
      </c>
      <c r="R94" s="53" t="s">
        <v>138</v>
      </c>
      <c r="S94" s="53" t="s">
        <v>138</v>
      </c>
      <c r="T94" s="53" t="s">
        <v>138</v>
      </c>
      <c r="U94" s="53" t="s">
        <v>138</v>
      </c>
      <c r="V94" s="53" t="s">
        <v>138</v>
      </c>
      <c r="W94" s="51" t="s">
        <v>245</v>
      </c>
      <c r="X94" s="51" t="s">
        <v>21</v>
      </c>
    </row>
    <row r="95" spans="1:24" s="45" customFormat="1" ht="75.75" customHeight="1" x14ac:dyDescent="0.25">
      <c r="A95" s="43">
        <v>46092</v>
      </c>
      <c r="B95" s="50" t="s">
        <v>133</v>
      </c>
      <c r="C95" s="44" t="s">
        <v>14</v>
      </c>
      <c r="D95" s="50" t="e" vm="3">
        <v>#VALUE!</v>
      </c>
      <c r="E95" s="50" t="s">
        <v>41</v>
      </c>
      <c r="F95" s="50" t="s">
        <v>23</v>
      </c>
      <c r="G95" s="51" t="s">
        <v>16</v>
      </c>
      <c r="H95" s="51" t="s">
        <v>17</v>
      </c>
      <c r="I95" s="51" t="s">
        <v>245</v>
      </c>
      <c r="J95" s="52">
        <v>61000</v>
      </c>
      <c r="K95" s="51" t="s">
        <v>239</v>
      </c>
      <c r="L95" s="51" t="s">
        <v>138</v>
      </c>
      <c r="M95" s="51" t="s">
        <v>246</v>
      </c>
      <c r="N95" s="51" t="s">
        <v>245</v>
      </c>
      <c r="O95" s="51" t="s">
        <v>138</v>
      </c>
      <c r="P95" s="51" t="s">
        <v>138</v>
      </c>
      <c r="Q95" s="53" t="s">
        <v>138</v>
      </c>
      <c r="R95" s="53" t="s">
        <v>138</v>
      </c>
      <c r="S95" s="53" t="s">
        <v>138</v>
      </c>
      <c r="T95" s="53" t="s">
        <v>138</v>
      </c>
      <c r="U95" s="53" t="s">
        <v>138</v>
      </c>
      <c r="V95" s="53" t="s">
        <v>138</v>
      </c>
      <c r="W95" s="51" t="s">
        <v>245</v>
      </c>
      <c r="X95" s="51" t="s">
        <v>21</v>
      </c>
    </row>
    <row r="96" spans="1:24" s="45" customFormat="1" ht="75.75" customHeight="1" x14ac:dyDescent="0.25">
      <c r="A96" s="43">
        <v>46092</v>
      </c>
      <c r="B96" s="44" t="s">
        <v>153</v>
      </c>
      <c r="C96" s="44" t="s">
        <v>14</v>
      </c>
      <c r="D96" s="44" t="e" vm="13">
        <v>#VALUE!</v>
      </c>
      <c r="E96" s="44" t="s">
        <v>41</v>
      </c>
      <c r="F96" s="44" t="s">
        <v>23</v>
      </c>
      <c r="G96" s="56" t="s">
        <v>16</v>
      </c>
      <c r="H96" s="56" t="s">
        <v>24</v>
      </c>
      <c r="I96" s="56" t="s">
        <v>241</v>
      </c>
      <c r="J96" s="61">
        <v>65.567999999999998</v>
      </c>
      <c r="K96" s="51" t="s">
        <v>227</v>
      </c>
      <c r="L96" s="51" t="s">
        <v>138</v>
      </c>
      <c r="M96" s="56" t="s">
        <v>247</v>
      </c>
      <c r="N96" s="56" t="s">
        <v>241</v>
      </c>
      <c r="O96" s="56">
        <v>40</v>
      </c>
      <c r="P96" s="56">
        <v>1</v>
      </c>
      <c r="Q96" s="53" t="s">
        <v>138</v>
      </c>
      <c r="R96" s="53" t="s">
        <v>138</v>
      </c>
      <c r="S96" s="53" t="s">
        <v>138</v>
      </c>
      <c r="T96" s="53" t="s">
        <v>138</v>
      </c>
      <c r="U96" s="53" t="s">
        <v>138</v>
      </c>
      <c r="V96" s="53" t="s">
        <v>138</v>
      </c>
      <c r="W96" s="56" t="s">
        <v>241</v>
      </c>
      <c r="X96" s="51" t="s">
        <v>21</v>
      </c>
    </row>
    <row r="97" spans="1:24" s="45" customFormat="1" ht="75.75" customHeight="1" x14ac:dyDescent="0.25">
      <c r="A97" s="43">
        <v>46092</v>
      </c>
      <c r="B97" s="44" t="s">
        <v>153</v>
      </c>
      <c r="C97" s="44" t="s">
        <v>14</v>
      </c>
      <c r="D97" s="44" t="e" vm="14">
        <v>#VALUE!</v>
      </c>
      <c r="E97" s="44" t="s">
        <v>41</v>
      </c>
      <c r="F97" s="44" t="s">
        <v>23</v>
      </c>
      <c r="G97" s="56" t="s">
        <v>16</v>
      </c>
      <c r="H97" s="56" t="s">
        <v>24</v>
      </c>
      <c r="I97" s="56" t="s">
        <v>241</v>
      </c>
      <c r="J97" s="57"/>
      <c r="K97" s="51" t="s">
        <v>227</v>
      </c>
      <c r="L97" s="51" t="s">
        <v>138</v>
      </c>
      <c r="M97" s="56" t="s">
        <v>247</v>
      </c>
      <c r="N97" s="56" t="s">
        <v>241</v>
      </c>
      <c r="O97" s="56">
        <v>40</v>
      </c>
      <c r="P97" s="56">
        <v>1</v>
      </c>
      <c r="Q97" s="53" t="s">
        <v>138</v>
      </c>
      <c r="R97" s="53" t="s">
        <v>138</v>
      </c>
      <c r="S97" s="53" t="s">
        <v>138</v>
      </c>
      <c r="T97" s="53" t="s">
        <v>138</v>
      </c>
      <c r="U97" s="53" t="s">
        <v>138</v>
      </c>
      <c r="V97" s="53" t="s">
        <v>138</v>
      </c>
      <c r="W97" s="56" t="s">
        <v>241</v>
      </c>
      <c r="X97" s="51" t="s">
        <v>21</v>
      </c>
    </row>
    <row r="98" spans="1:24" s="45" customFormat="1" ht="75.75" customHeight="1" x14ac:dyDescent="0.25">
      <c r="A98" s="43">
        <v>46092</v>
      </c>
      <c r="B98" s="47" t="s">
        <v>133</v>
      </c>
      <c r="C98" s="44" t="s">
        <v>14</v>
      </c>
      <c r="D98" s="44" t="e" vm="3">
        <v>#VALUE!</v>
      </c>
      <c r="E98" s="44" t="s">
        <v>41</v>
      </c>
      <c r="F98" s="44" t="s">
        <v>23</v>
      </c>
      <c r="G98" s="56" t="s">
        <v>16</v>
      </c>
      <c r="H98" s="56" t="s">
        <v>24</v>
      </c>
      <c r="I98" s="56" t="s">
        <v>248</v>
      </c>
      <c r="J98" s="57">
        <v>109900</v>
      </c>
      <c r="K98" s="56" t="s">
        <v>138</v>
      </c>
      <c r="L98" s="56" t="s">
        <v>138</v>
      </c>
      <c r="M98" s="56" t="s">
        <v>249</v>
      </c>
      <c r="N98" s="56" t="s">
        <v>250</v>
      </c>
      <c r="O98" s="56" t="s">
        <v>138</v>
      </c>
      <c r="P98" s="56">
        <v>1</v>
      </c>
      <c r="Q98" s="56" t="s">
        <v>138</v>
      </c>
      <c r="R98" s="56" t="s">
        <v>138</v>
      </c>
      <c r="S98" s="56" t="s">
        <v>138</v>
      </c>
      <c r="T98" s="56" t="s">
        <v>138</v>
      </c>
      <c r="U98" s="56" t="s">
        <v>138</v>
      </c>
      <c r="V98" s="56" t="s">
        <v>138</v>
      </c>
      <c r="W98" s="56" t="s">
        <v>251</v>
      </c>
      <c r="X98" s="56" t="s">
        <v>21</v>
      </c>
    </row>
    <row r="99" spans="1:24" s="45" customFormat="1" ht="75.75" customHeight="1" x14ac:dyDescent="0.25">
      <c r="A99" s="43">
        <v>46092</v>
      </c>
      <c r="B99" s="47" t="s">
        <v>133</v>
      </c>
      <c r="C99" s="44" t="s">
        <v>14</v>
      </c>
      <c r="D99" s="44" t="e" vm="3">
        <v>#VALUE!</v>
      </c>
      <c r="E99" s="44" t="s">
        <v>41</v>
      </c>
      <c r="F99" s="44" t="s">
        <v>23</v>
      </c>
      <c r="G99" s="56" t="s">
        <v>16</v>
      </c>
      <c r="H99" s="56" t="s">
        <v>24</v>
      </c>
      <c r="I99" s="56" t="s">
        <v>252</v>
      </c>
      <c r="J99" s="57">
        <v>109900</v>
      </c>
      <c r="K99" s="56" t="s">
        <v>138</v>
      </c>
      <c r="L99" s="56" t="s">
        <v>138</v>
      </c>
      <c r="M99" s="56" t="s">
        <v>249</v>
      </c>
      <c r="N99" s="56" t="s">
        <v>252</v>
      </c>
      <c r="O99" s="56" t="s">
        <v>138</v>
      </c>
      <c r="P99" s="56" t="s">
        <v>138</v>
      </c>
      <c r="Q99" s="56" t="s">
        <v>138</v>
      </c>
      <c r="R99" s="56" t="s">
        <v>138</v>
      </c>
      <c r="S99" s="56" t="s">
        <v>138</v>
      </c>
      <c r="T99" s="56" t="s">
        <v>138</v>
      </c>
      <c r="U99" s="56" t="s">
        <v>138</v>
      </c>
      <c r="V99" s="56" t="s">
        <v>138</v>
      </c>
      <c r="W99" s="56" t="s">
        <v>251</v>
      </c>
      <c r="X99" s="56" t="s">
        <v>21</v>
      </c>
    </row>
    <row r="100" spans="1:24" s="45" customFormat="1" ht="75.75" customHeight="1" x14ac:dyDescent="0.25">
      <c r="A100" s="43">
        <v>46092</v>
      </c>
      <c r="B100" s="47" t="s">
        <v>133</v>
      </c>
      <c r="C100" s="44" t="s">
        <v>14</v>
      </c>
      <c r="D100" s="44" t="e" vm="3">
        <v>#VALUE!</v>
      </c>
      <c r="E100" s="44" t="s">
        <v>41</v>
      </c>
      <c r="F100" s="44" t="s">
        <v>23</v>
      </c>
      <c r="G100" s="56" t="s">
        <v>16</v>
      </c>
      <c r="H100" s="56" t="s">
        <v>24</v>
      </c>
      <c r="I100" s="56" t="s">
        <v>253</v>
      </c>
      <c r="J100" s="57">
        <v>109900</v>
      </c>
      <c r="K100" s="56" t="s">
        <v>138</v>
      </c>
      <c r="L100" s="56" t="s">
        <v>138</v>
      </c>
      <c r="M100" s="56" t="s">
        <v>249</v>
      </c>
      <c r="N100" s="56" t="s">
        <v>253</v>
      </c>
      <c r="O100" s="56" t="s">
        <v>138</v>
      </c>
      <c r="P100" s="56" t="s">
        <v>138</v>
      </c>
      <c r="Q100" s="56" t="s">
        <v>138</v>
      </c>
      <c r="R100" s="56" t="s">
        <v>138</v>
      </c>
      <c r="S100" s="56" t="s">
        <v>138</v>
      </c>
      <c r="T100" s="56" t="s">
        <v>138</v>
      </c>
      <c r="U100" s="56" t="s">
        <v>138</v>
      </c>
      <c r="V100" s="56" t="s">
        <v>138</v>
      </c>
      <c r="W100" s="56" t="s">
        <v>251</v>
      </c>
      <c r="X100" s="56" t="s">
        <v>21</v>
      </c>
    </row>
    <row r="101" spans="1:24" s="45" customFormat="1" ht="75.75" customHeight="1" x14ac:dyDescent="0.25">
      <c r="A101" s="43">
        <v>46092</v>
      </c>
      <c r="B101" s="47" t="s">
        <v>153</v>
      </c>
      <c r="C101" s="44" t="s">
        <v>14</v>
      </c>
      <c r="D101" s="44" t="e" vm="13">
        <v>#VALUE!</v>
      </c>
      <c r="E101" s="44" t="s">
        <v>41</v>
      </c>
      <c r="F101" s="44" t="s">
        <v>23</v>
      </c>
      <c r="G101" s="56" t="s">
        <v>16</v>
      </c>
      <c r="H101" s="56" t="s">
        <v>24</v>
      </c>
      <c r="I101" s="56" t="s">
        <v>241</v>
      </c>
      <c r="J101" s="61">
        <v>84.850999999999999</v>
      </c>
      <c r="K101" s="56" t="s">
        <v>138</v>
      </c>
      <c r="L101" s="56" t="s">
        <v>138</v>
      </c>
      <c r="M101" s="56" t="s">
        <v>254</v>
      </c>
      <c r="N101" s="56" t="s">
        <v>241</v>
      </c>
      <c r="O101" s="56">
        <v>40</v>
      </c>
      <c r="P101" s="56">
        <v>1</v>
      </c>
      <c r="Q101" s="58">
        <v>0</v>
      </c>
      <c r="R101" s="58" t="s">
        <v>25</v>
      </c>
      <c r="S101" s="56" t="s">
        <v>138</v>
      </c>
      <c r="T101" s="56" t="s">
        <v>138</v>
      </c>
      <c r="U101" s="56" t="s">
        <v>138</v>
      </c>
      <c r="V101" s="56" t="s">
        <v>138</v>
      </c>
      <c r="W101" s="56" t="s">
        <v>241</v>
      </c>
      <c r="X101" s="56" t="s">
        <v>21</v>
      </c>
    </row>
    <row r="102" spans="1:24" s="45" customFormat="1" ht="75.75" customHeight="1" x14ac:dyDescent="0.25">
      <c r="A102" s="43">
        <v>46092</v>
      </c>
      <c r="B102" s="47" t="s">
        <v>153</v>
      </c>
      <c r="C102" s="44" t="s">
        <v>14</v>
      </c>
      <c r="D102" s="44" t="e" vm="13">
        <v>#VALUE!</v>
      </c>
      <c r="E102" s="44" t="s">
        <v>41</v>
      </c>
      <c r="F102" s="44" t="s">
        <v>23</v>
      </c>
      <c r="G102" s="56" t="s">
        <v>16</v>
      </c>
      <c r="H102" s="56" t="s">
        <v>24</v>
      </c>
      <c r="I102" s="56" t="s">
        <v>241</v>
      </c>
      <c r="J102" s="61">
        <v>109171</v>
      </c>
      <c r="K102" s="56" t="s">
        <v>138</v>
      </c>
      <c r="L102" s="56" t="s">
        <v>138</v>
      </c>
      <c r="M102" s="56" t="s">
        <v>255</v>
      </c>
      <c r="N102" s="56" t="s">
        <v>241</v>
      </c>
      <c r="O102" s="56">
        <v>40</v>
      </c>
      <c r="P102" s="56">
        <v>1</v>
      </c>
      <c r="Q102" s="58">
        <v>0</v>
      </c>
      <c r="R102" s="58" t="s">
        <v>25</v>
      </c>
      <c r="S102" s="56" t="s">
        <v>138</v>
      </c>
      <c r="T102" s="56" t="s">
        <v>138</v>
      </c>
      <c r="U102" s="56" t="s">
        <v>138</v>
      </c>
      <c r="V102" s="56" t="s">
        <v>138</v>
      </c>
      <c r="W102" s="56" t="s">
        <v>241</v>
      </c>
      <c r="X102" s="56" t="s">
        <v>21</v>
      </c>
    </row>
    <row r="103" spans="1:24" s="45" customFormat="1" ht="75.75" customHeight="1" x14ac:dyDescent="0.25">
      <c r="A103" s="43">
        <v>46092</v>
      </c>
      <c r="B103" s="47" t="s">
        <v>133</v>
      </c>
      <c r="C103" s="44" t="s">
        <v>14</v>
      </c>
      <c r="D103" s="44" t="e" vm="3">
        <v>#VALUE!</v>
      </c>
      <c r="E103" s="44" t="s">
        <v>41</v>
      </c>
      <c r="F103" s="44" t="s">
        <v>23</v>
      </c>
      <c r="G103" s="56" t="s">
        <v>16</v>
      </c>
      <c r="H103" s="56" t="s">
        <v>24</v>
      </c>
      <c r="I103" s="56" t="s">
        <v>248</v>
      </c>
      <c r="J103" s="57">
        <v>99900</v>
      </c>
      <c r="K103" s="56" t="s">
        <v>138</v>
      </c>
      <c r="L103" s="56" t="s">
        <v>138</v>
      </c>
      <c r="M103" s="56" t="s">
        <v>249</v>
      </c>
      <c r="N103" s="56" t="s">
        <v>250</v>
      </c>
      <c r="O103" s="56" t="s">
        <v>138</v>
      </c>
      <c r="P103" s="56">
        <v>1</v>
      </c>
      <c r="Q103" s="56" t="s">
        <v>138</v>
      </c>
      <c r="R103" s="56" t="s">
        <v>138</v>
      </c>
      <c r="S103" s="56" t="s">
        <v>138</v>
      </c>
      <c r="T103" s="56" t="s">
        <v>138</v>
      </c>
      <c r="U103" s="56" t="s">
        <v>138</v>
      </c>
      <c r="V103" s="56" t="s">
        <v>138</v>
      </c>
      <c r="W103" s="56" t="s">
        <v>256</v>
      </c>
      <c r="X103" s="56" t="s">
        <v>21</v>
      </c>
    </row>
    <row r="104" spans="1:24" s="45" customFormat="1" ht="75.75" customHeight="1" x14ac:dyDescent="0.25">
      <c r="A104" s="43">
        <v>46092</v>
      </c>
      <c r="B104" s="47" t="s">
        <v>133</v>
      </c>
      <c r="C104" s="44" t="s">
        <v>14</v>
      </c>
      <c r="D104" s="44" t="e" vm="3">
        <v>#VALUE!</v>
      </c>
      <c r="E104" s="44" t="s">
        <v>41</v>
      </c>
      <c r="F104" s="44" t="s">
        <v>23</v>
      </c>
      <c r="G104" s="56" t="s">
        <v>16</v>
      </c>
      <c r="H104" s="56" t="s">
        <v>24</v>
      </c>
      <c r="I104" s="56" t="s">
        <v>252</v>
      </c>
      <c r="J104" s="57">
        <v>99900</v>
      </c>
      <c r="K104" s="56" t="s">
        <v>138</v>
      </c>
      <c r="L104" s="56" t="s">
        <v>138</v>
      </c>
      <c r="M104" s="56" t="s">
        <v>249</v>
      </c>
      <c r="N104" s="56" t="s">
        <v>252</v>
      </c>
      <c r="O104" s="56" t="s">
        <v>138</v>
      </c>
      <c r="P104" s="56" t="s">
        <v>138</v>
      </c>
      <c r="Q104" s="56" t="s">
        <v>138</v>
      </c>
      <c r="R104" s="56" t="s">
        <v>138</v>
      </c>
      <c r="S104" s="56" t="s">
        <v>138</v>
      </c>
      <c r="T104" s="56" t="s">
        <v>138</v>
      </c>
      <c r="U104" s="56" t="s">
        <v>138</v>
      </c>
      <c r="V104" s="56" t="s">
        <v>138</v>
      </c>
      <c r="W104" s="56" t="s">
        <v>256</v>
      </c>
      <c r="X104" s="56" t="s">
        <v>21</v>
      </c>
    </row>
    <row r="105" spans="1:24" s="45" customFormat="1" ht="75.75" customHeight="1" x14ac:dyDescent="0.25">
      <c r="A105" s="43">
        <v>46092</v>
      </c>
      <c r="B105" s="47" t="s">
        <v>133</v>
      </c>
      <c r="C105" s="44" t="s">
        <v>14</v>
      </c>
      <c r="D105" s="44" t="e" vm="3">
        <v>#VALUE!</v>
      </c>
      <c r="E105" s="44" t="s">
        <v>41</v>
      </c>
      <c r="F105" s="44" t="s">
        <v>23</v>
      </c>
      <c r="G105" s="56" t="s">
        <v>16</v>
      </c>
      <c r="H105" s="56" t="s">
        <v>24</v>
      </c>
      <c r="I105" s="56" t="s">
        <v>253</v>
      </c>
      <c r="J105" s="57">
        <v>99900</v>
      </c>
      <c r="K105" s="56" t="s">
        <v>138</v>
      </c>
      <c r="L105" s="56" t="s">
        <v>138</v>
      </c>
      <c r="M105" s="56" t="s">
        <v>249</v>
      </c>
      <c r="N105" s="56" t="s">
        <v>253</v>
      </c>
      <c r="O105" s="56" t="s">
        <v>138</v>
      </c>
      <c r="P105" s="56" t="s">
        <v>138</v>
      </c>
      <c r="Q105" s="56" t="s">
        <v>138</v>
      </c>
      <c r="R105" s="56" t="s">
        <v>138</v>
      </c>
      <c r="S105" s="56" t="s">
        <v>138</v>
      </c>
      <c r="T105" s="56" t="s">
        <v>138</v>
      </c>
      <c r="U105" s="56" t="s">
        <v>138</v>
      </c>
      <c r="V105" s="56" t="s">
        <v>138</v>
      </c>
      <c r="W105" s="56" t="s">
        <v>256</v>
      </c>
      <c r="X105" s="56" t="s">
        <v>21</v>
      </c>
    </row>
    <row r="106" spans="1:24" s="45" customFormat="1" ht="75.75" customHeight="1" x14ac:dyDescent="0.25">
      <c r="A106" s="43">
        <v>46092</v>
      </c>
      <c r="B106" s="47" t="s">
        <v>133</v>
      </c>
      <c r="C106" s="44" t="s">
        <v>14</v>
      </c>
      <c r="D106" s="44" t="e" vm="2">
        <v>#VALUE!</v>
      </c>
      <c r="E106" s="44" t="s">
        <v>41</v>
      </c>
      <c r="F106" s="44" t="s">
        <v>23</v>
      </c>
      <c r="G106" s="56" t="s">
        <v>16</v>
      </c>
      <c r="H106" s="56" t="s">
        <v>24</v>
      </c>
      <c r="I106" s="56" t="s">
        <v>248</v>
      </c>
      <c r="J106" s="57">
        <v>109900</v>
      </c>
      <c r="K106" s="56" t="s">
        <v>138</v>
      </c>
      <c r="L106" s="56" t="s">
        <v>138</v>
      </c>
      <c r="M106" s="56" t="s">
        <v>249</v>
      </c>
      <c r="N106" s="56" t="s">
        <v>250</v>
      </c>
      <c r="O106" s="56" t="s">
        <v>138</v>
      </c>
      <c r="P106" s="56">
        <v>1</v>
      </c>
      <c r="Q106" s="56" t="s">
        <v>138</v>
      </c>
      <c r="R106" s="56" t="s">
        <v>138</v>
      </c>
      <c r="S106" s="56" t="s">
        <v>138</v>
      </c>
      <c r="T106" s="56" t="s">
        <v>138</v>
      </c>
      <c r="U106" s="56" t="s">
        <v>138</v>
      </c>
      <c r="V106" s="56" t="s">
        <v>138</v>
      </c>
      <c r="W106" s="56" t="s">
        <v>251</v>
      </c>
      <c r="X106" s="56" t="s">
        <v>21</v>
      </c>
    </row>
    <row r="107" spans="1:24" s="45" customFormat="1" ht="75.75" customHeight="1" x14ac:dyDescent="0.25">
      <c r="A107" s="43">
        <v>46092</v>
      </c>
      <c r="B107" s="47" t="s">
        <v>133</v>
      </c>
      <c r="C107" s="44" t="s">
        <v>14</v>
      </c>
      <c r="D107" s="44" t="e" vm="2">
        <v>#VALUE!</v>
      </c>
      <c r="E107" s="44" t="s">
        <v>41</v>
      </c>
      <c r="F107" s="44" t="s">
        <v>23</v>
      </c>
      <c r="G107" s="56" t="s">
        <v>16</v>
      </c>
      <c r="H107" s="56" t="s">
        <v>24</v>
      </c>
      <c r="I107" s="56" t="s">
        <v>252</v>
      </c>
      <c r="J107" s="57">
        <v>109900</v>
      </c>
      <c r="K107" s="56" t="s">
        <v>138</v>
      </c>
      <c r="L107" s="56" t="s">
        <v>138</v>
      </c>
      <c r="M107" s="56" t="s">
        <v>249</v>
      </c>
      <c r="N107" s="56" t="s">
        <v>252</v>
      </c>
      <c r="O107" s="56" t="s">
        <v>138</v>
      </c>
      <c r="P107" s="56" t="s">
        <v>138</v>
      </c>
      <c r="Q107" s="56" t="s">
        <v>138</v>
      </c>
      <c r="R107" s="56" t="s">
        <v>138</v>
      </c>
      <c r="S107" s="56" t="s">
        <v>138</v>
      </c>
      <c r="T107" s="56" t="s">
        <v>138</v>
      </c>
      <c r="U107" s="56" t="s">
        <v>138</v>
      </c>
      <c r="V107" s="56" t="s">
        <v>138</v>
      </c>
      <c r="W107" s="56" t="s">
        <v>251</v>
      </c>
      <c r="X107" s="56" t="s">
        <v>21</v>
      </c>
    </row>
    <row r="108" spans="1:24" s="45" customFormat="1" ht="75.75" customHeight="1" x14ac:dyDescent="0.25">
      <c r="A108" s="43">
        <v>46092</v>
      </c>
      <c r="B108" s="47" t="s">
        <v>133</v>
      </c>
      <c r="C108" s="44" t="s">
        <v>14</v>
      </c>
      <c r="D108" s="44" t="e" vm="2">
        <v>#VALUE!</v>
      </c>
      <c r="E108" s="44" t="s">
        <v>41</v>
      </c>
      <c r="F108" s="44" t="s">
        <v>23</v>
      </c>
      <c r="G108" s="56" t="s">
        <v>16</v>
      </c>
      <c r="H108" s="56" t="s">
        <v>24</v>
      </c>
      <c r="I108" s="56" t="s">
        <v>253</v>
      </c>
      <c r="J108" s="57">
        <v>109900</v>
      </c>
      <c r="K108" s="56" t="s">
        <v>138</v>
      </c>
      <c r="L108" s="56" t="s">
        <v>138</v>
      </c>
      <c r="M108" s="56" t="s">
        <v>249</v>
      </c>
      <c r="N108" s="56" t="s">
        <v>253</v>
      </c>
      <c r="O108" s="56" t="s">
        <v>138</v>
      </c>
      <c r="P108" s="56" t="s">
        <v>138</v>
      </c>
      <c r="Q108" s="56" t="s">
        <v>138</v>
      </c>
      <c r="R108" s="56" t="s">
        <v>138</v>
      </c>
      <c r="S108" s="56" t="s">
        <v>138</v>
      </c>
      <c r="T108" s="56" t="s">
        <v>138</v>
      </c>
      <c r="U108" s="56" t="s">
        <v>138</v>
      </c>
      <c r="V108" s="56" t="s">
        <v>138</v>
      </c>
      <c r="W108" s="56" t="s">
        <v>251</v>
      </c>
      <c r="X108" s="56" t="s">
        <v>21</v>
      </c>
    </row>
    <row r="109" spans="1:24" s="45" customFormat="1" ht="75.75" customHeight="1" x14ac:dyDescent="0.25">
      <c r="A109" s="43">
        <v>46092</v>
      </c>
      <c r="B109" s="47" t="s">
        <v>133</v>
      </c>
      <c r="C109" s="44" t="s">
        <v>14</v>
      </c>
      <c r="D109" s="44" t="e" vm="2">
        <v>#VALUE!</v>
      </c>
      <c r="E109" s="44" t="s">
        <v>41</v>
      </c>
      <c r="F109" s="44" t="s">
        <v>23</v>
      </c>
      <c r="G109" s="56" t="s">
        <v>16</v>
      </c>
      <c r="H109" s="56" t="s">
        <v>24</v>
      </c>
      <c r="I109" s="56" t="s">
        <v>248</v>
      </c>
      <c r="J109" s="57">
        <v>99900</v>
      </c>
      <c r="K109" s="56" t="s">
        <v>138</v>
      </c>
      <c r="L109" s="56" t="s">
        <v>138</v>
      </c>
      <c r="M109" s="56" t="s">
        <v>249</v>
      </c>
      <c r="N109" s="56" t="s">
        <v>250</v>
      </c>
      <c r="O109" s="56" t="s">
        <v>138</v>
      </c>
      <c r="P109" s="56">
        <v>1</v>
      </c>
      <c r="Q109" s="56" t="s">
        <v>138</v>
      </c>
      <c r="R109" s="56" t="s">
        <v>138</v>
      </c>
      <c r="S109" s="56" t="s">
        <v>138</v>
      </c>
      <c r="T109" s="56" t="s">
        <v>138</v>
      </c>
      <c r="U109" s="56" t="s">
        <v>138</v>
      </c>
      <c r="V109" s="56" t="s">
        <v>138</v>
      </c>
      <c r="W109" s="56" t="s">
        <v>256</v>
      </c>
      <c r="X109" s="56" t="s">
        <v>21</v>
      </c>
    </row>
    <row r="110" spans="1:24" s="45" customFormat="1" ht="75.75" customHeight="1" x14ac:dyDescent="0.25">
      <c r="A110" s="43">
        <v>46092</v>
      </c>
      <c r="B110" s="47" t="s">
        <v>133</v>
      </c>
      <c r="C110" s="44" t="s">
        <v>14</v>
      </c>
      <c r="D110" s="44" t="e" vm="2">
        <v>#VALUE!</v>
      </c>
      <c r="E110" s="44" t="s">
        <v>41</v>
      </c>
      <c r="F110" s="44" t="s">
        <v>23</v>
      </c>
      <c r="G110" s="56" t="s">
        <v>16</v>
      </c>
      <c r="H110" s="56" t="s">
        <v>24</v>
      </c>
      <c r="I110" s="56" t="s">
        <v>252</v>
      </c>
      <c r="J110" s="57">
        <v>99900</v>
      </c>
      <c r="K110" s="56" t="s">
        <v>138</v>
      </c>
      <c r="L110" s="56" t="s">
        <v>138</v>
      </c>
      <c r="M110" s="56" t="s">
        <v>249</v>
      </c>
      <c r="N110" s="56" t="s">
        <v>252</v>
      </c>
      <c r="O110" s="56" t="s">
        <v>138</v>
      </c>
      <c r="P110" s="56" t="s">
        <v>138</v>
      </c>
      <c r="Q110" s="56" t="s">
        <v>138</v>
      </c>
      <c r="R110" s="56" t="s">
        <v>138</v>
      </c>
      <c r="S110" s="56" t="s">
        <v>138</v>
      </c>
      <c r="T110" s="56" t="s">
        <v>138</v>
      </c>
      <c r="U110" s="56" t="s">
        <v>138</v>
      </c>
      <c r="V110" s="56" t="s">
        <v>138</v>
      </c>
      <c r="W110" s="56" t="s">
        <v>256</v>
      </c>
      <c r="X110" s="56" t="s">
        <v>21</v>
      </c>
    </row>
    <row r="111" spans="1:24" s="45" customFormat="1" ht="75.75" customHeight="1" x14ac:dyDescent="0.25">
      <c r="A111" s="43">
        <v>46092</v>
      </c>
      <c r="B111" s="47" t="s">
        <v>133</v>
      </c>
      <c r="C111" s="44" t="s">
        <v>14</v>
      </c>
      <c r="D111" s="44" t="e" vm="2">
        <v>#VALUE!</v>
      </c>
      <c r="E111" s="44" t="s">
        <v>41</v>
      </c>
      <c r="F111" s="44" t="s">
        <v>23</v>
      </c>
      <c r="G111" s="56" t="s">
        <v>16</v>
      </c>
      <c r="H111" s="56" t="s">
        <v>24</v>
      </c>
      <c r="I111" s="56" t="s">
        <v>253</v>
      </c>
      <c r="J111" s="57">
        <v>99900</v>
      </c>
      <c r="K111" s="56" t="s">
        <v>138</v>
      </c>
      <c r="L111" s="56" t="s">
        <v>138</v>
      </c>
      <c r="M111" s="56" t="s">
        <v>249</v>
      </c>
      <c r="N111" s="56" t="s">
        <v>253</v>
      </c>
      <c r="O111" s="56" t="s">
        <v>138</v>
      </c>
      <c r="P111" s="56" t="s">
        <v>138</v>
      </c>
      <c r="Q111" s="56" t="s">
        <v>138</v>
      </c>
      <c r="R111" s="56" t="s">
        <v>138</v>
      </c>
      <c r="S111" s="56" t="s">
        <v>138</v>
      </c>
      <c r="T111" s="56" t="s">
        <v>138</v>
      </c>
      <c r="U111" s="56" t="s">
        <v>138</v>
      </c>
      <c r="V111" s="56" t="s">
        <v>138</v>
      </c>
      <c r="W111" s="56" t="s">
        <v>256</v>
      </c>
      <c r="X111" s="56" t="s">
        <v>21</v>
      </c>
    </row>
    <row r="112" spans="1:24" s="45" customFormat="1" ht="75.75" customHeight="1" x14ac:dyDescent="0.25">
      <c r="A112" s="43">
        <v>46092</v>
      </c>
      <c r="B112" s="47" t="s">
        <v>257</v>
      </c>
      <c r="C112" s="44" t="s">
        <v>14</v>
      </c>
      <c r="D112" s="44" t="e" vm="5">
        <v>#VALUE!</v>
      </c>
      <c r="E112" s="44" t="s">
        <v>41</v>
      </c>
      <c r="F112" s="44" t="s">
        <v>15</v>
      </c>
      <c r="G112" s="56" t="s">
        <v>16</v>
      </c>
      <c r="H112" s="56" t="s">
        <v>32</v>
      </c>
      <c r="I112" s="56" t="s">
        <v>258</v>
      </c>
      <c r="J112" s="57">
        <v>119900</v>
      </c>
      <c r="K112" s="56" t="s">
        <v>138</v>
      </c>
      <c r="L112" s="56" t="s">
        <v>138</v>
      </c>
      <c r="M112" s="56" t="s">
        <v>259</v>
      </c>
      <c r="N112" s="56" t="s">
        <v>260</v>
      </c>
      <c r="O112" s="56">
        <v>156</v>
      </c>
      <c r="P112" s="56">
        <v>2</v>
      </c>
      <c r="Q112" s="58">
        <v>12000</v>
      </c>
      <c r="R112" s="58" t="s">
        <v>25</v>
      </c>
      <c r="S112" s="58" t="s">
        <v>138</v>
      </c>
      <c r="T112" s="56" t="s">
        <v>138</v>
      </c>
      <c r="U112" s="56" t="s">
        <v>261</v>
      </c>
      <c r="V112" s="56" t="s">
        <v>138</v>
      </c>
      <c r="W112" s="56" t="s">
        <v>138</v>
      </c>
      <c r="X112" s="56" t="s">
        <v>21</v>
      </c>
    </row>
    <row r="113" spans="1:24" s="45" customFormat="1" ht="75.75" customHeight="1" x14ac:dyDescent="0.25">
      <c r="A113" s="43">
        <v>46092</v>
      </c>
      <c r="B113" s="47" t="s">
        <v>257</v>
      </c>
      <c r="C113" s="44" t="s">
        <v>14</v>
      </c>
      <c r="D113" s="44" t="e" vm="5">
        <v>#VALUE!</v>
      </c>
      <c r="E113" s="44" t="s">
        <v>41</v>
      </c>
      <c r="F113" s="44" t="s">
        <v>15</v>
      </c>
      <c r="G113" s="56" t="s">
        <v>16</v>
      </c>
      <c r="H113" s="56" t="s">
        <v>38</v>
      </c>
      <c r="I113" s="56" t="s">
        <v>262</v>
      </c>
      <c r="J113" s="57">
        <v>89900</v>
      </c>
      <c r="K113" s="56" t="s">
        <v>138</v>
      </c>
      <c r="L113" s="56" t="s">
        <v>138</v>
      </c>
      <c r="M113" s="56" t="s">
        <v>151</v>
      </c>
      <c r="N113" s="56" t="s">
        <v>138</v>
      </c>
      <c r="O113" s="56" t="s">
        <v>138</v>
      </c>
      <c r="P113" s="56" t="s">
        <v>138</v>
      </c>
      <c r="Q113" s="56" t="s">
        <v>138</v>
      </c>
      <c r="R113" s="58" t="s">
        <v>25</v>
      </c>
      <c r="S113" s="58" t="s">
        <v>138</v>
      </c>
      <c r="T113" s="58">
        <v>1</v>
      </c>
      <c r="U113" s="56" t="s">
        <v>263</v>
      </c>
      <c r="V113" s="56" t="s">
        <v>138</v>
      </c>
      <c r="W113" s="56" t="s">
        <v>138</v>
      </c>
      <c r="X113" s="56" t="s">
        <v>21</v>
      </c>
    </row>
    <row r="114" spans="1:24" s="45" customFormat="1" ht="75.75" customHeight="1" x14ac:dyDescent="0.25">
      <c r="A114" s="43">
        <v>46092</v>
      </c>
      <c r="B114" s="47" t="s">
        <v>264</v>
      </c>
      <c r="C114" s="44" t="s">
        <v>37</v>
      </c>
      <c r="D114" s="44" t="s">
        <v>69</v>
      </c>
      <c r="E114" s="44" t="s">
        <v>41</v>
      </c>
      <c r="F114" s="44" t="s">
        <v>23</v>
      </c>
      <c r="G114" s="56" t="s">
        <v>16</v>
      </c>
      <c r="H114" s="56" t="s">
        <v>17</v>
      </c>
      <c r="I114" s="56" t="s">
        <v>265</v>
      </c>
      <c r="J114" s="57">
        <v>63000</v>
      </c>
      <c r="K114" s="56" t="s">
        <v>266</v>
      </c>
      <c r="L114" s="56" t="s">
        <v>266</v>
      </c>
      <c r="M114" s="56" t="s">
        <v>229</v>
      </c>
      <c r="N114" s="56" t="s">
        <v>266</v>
      </c>
      <c r="O114" s="56" t="s">
        <v>266</v>
      </c>
      <c r="P114" s="56" t="s">
        <v>266</v>
      </c>
      <c r="Q114" s="58" t="s">
        <v>266</v>
      </c>
      <c r="R114" s="58" t="s">
        <v>25</v>
      </c>
      <c r="S114" s="58" t="s">
        <v>266</v>
      </c>
      <c r="T114" s="58">
        <v>1</v>
      </c>
      <c r="U114" s="56" t="s">
        <v>266</v>
      </c>
      <c r="V114" s="56" t="s">
        <v>266</v>
      </c>
      <c r="W114" s="56" t="s">
        <v>267</v>
      </c>
      <c r="X114" s="56" t="s">
        <v>42</v>
      </c>
    </row>
    <row r="115" spans="1:24" s="45" customFormat="1" ht="75.75" customHeight="1" x14ac:dyDescent="0.25">
      <c r="A115" s="43">
        <v>46092</v>
      </c>
      <c r="B115" s="47" t="s">
        <v>264</v>
      </c>
      <c r="C115" s="44" t="s">
        <v>37</v>
      </c>
      <c r="D115" s="44" t="s">
        <v>69</v>
      </c>
      <c r="E115" s="44" t="s">
        <v>41</v>
      </c>
      <c r="F115" s="44" t="s">
        <v>23</v>
      </c>
      <c r="G115" s="56" t="s">
        <v>16</v>
      </c>
      <c r="H115" s="56" t="s">
        <v>17</v>
      </c>
      <c r="I115" s="56" t="s">
        <v>268</v>
      </c>
      <c r="J115" s="57">
        <v>100000</v>
      </c>
      <c r="K115" s="56" t="s">
        <v>266</v>
      </c>
      <c r="L115" s="56" t="s">
        <v>266</v>
      </c>
      <c r="M115" s="56" t="s">
        <v>229</v>
      </c>
      <c r="N115" s="56" t="s">
        <v>266</v>
      </c>
      <c r="O115" s="56" t="s">
        <v>266</v>
      </c>
      <c r="P115" s="56" t="s">
        <v>266</v>
      </c>
      <c r="Q115" s="58" t="s">
        <v>266</v>
      </c>
      <c r="R115" s="58" t="s">
        <v>25</v>
      </c>
      <c r="S115" s="58" t="s">
        <v>266</v>
      </c>
      <c r="T115" s="58">
        <v>1</v>
      </c>
      <c r="U115" s="56" t="s">
        <v>266</v>
      </c>
      <c r="V115" s="56" t="s">
        <v>266</v>
      </c>
      <c r="W115" s="56" t="s">
        <v>267</v>
      </c>
      <c r="X115" s="56" t="s">
        <v>42</v>
      </c>
    </row>
    <row r="116" spans="1:24" s="45" customFormat="1" ht="75.75" customHeight="1" x14ac:dyDescent="0.25">
      <c r="A116" s="43">
        <v>46092</v>
      </c>
      <c r="B116" s="47" t="s">
        <v>264</v>
      </c>
      <c r="C116" s="44" t="s">
        <v>37</v>
      </c>
      <c r="D116" s="44" t="s">
        <v>69</v>
      </c>
      <c r="E116" s="44" t="s">
        <v>41</v>
      </c>
      <c r="F116" s="44" t="s">
        <v>23</v>
      </c>
      <c r="G116" s="56" t="s">
        <v>16</v>
      </c>
      <c r="H116" s="56" t="s">
        <v>17</v>
      </c>
      <c r="I116" s="56" t="s">
        <v>265</v>
      </c>
      <c r="J116" s="57">
        <v>75000</v>
      </c>
      <c r="K116" s="56" t="s">
        <v>266</v>
      </c>
      <c r="L116" s="56" t="s">
        <v>266</v>
      </c>
      <c r="M116" s="56" t="s">
        <v>229</v>
      </c>
      <c r="N116" s="56" t="s">
        <v>266</v>
      </c>
      <c r="O116" s="56" t="s">
        <v>266</v>
      </c>
      <c r="P116" s="56" t="s">
        <v>266</v>
      </c>
      <c r="Q116" s="58" t="s">
        <v>266</v>
      </c>
      <c r="R116" s="58" t="s">
        <v>25</v>
      </c>
      <c r="S116" s="58" t="s">
        <v>266</v>
      </c>
      <c r="T116" s="58">
        <v>1</v>
      </c>
      <c r="U116" s="56" t="s">
        <v>266</v>
      </c>
      <c r="V116" s="56" t="s">
        <v>266</v>
      </c>
      <c r="W116" s="56" t="s">
        <v>269</v>
      </c>
      <c r="X116" s="56" t="s">
        <v>42</v>
      </c>
    </row>
    <row r="117" spans="1:24" s="45" customFormat="1" ht="75.75" customHeight="1" x14ac:dyDescent="0.25">
      <c r="A117" s="43">
        <v>46092</v>
      </c>
      <c r="B117" s="47" t="s">
        <v>264</v>
      </c>
      <c r="C117" s="44" t="s">
        <v>59</v>
      </c>
      <c r="D117" s="44" t="s">
        <v>69</v>
      </c>
      <c r="E117" s="44" t="s">
        <v>41</v>
      </c>
      <c r="F117" s="44" t="s">
        <v>23</v>
      </c>
      <c r="G117" s="56" t="s">
        <v>16</v>
      </c>
      <c r="H117" s="56" t="s">
        <v>24</v>
      </c>
      <c r="I117" s="56" t="s">
        <v>270</v>
      </c>
      <c r="J117" s="57">
        <v>99000</v>
      </c>
      <c r="K117" s="56" t="s">
        <v>266</v>
      </c>
      <c r="L117" s="56" t="s">
        <v>266</v>
      </c>
      <c r="M117" s="56" t="s">
        <v>229</v>
      </c>
      <c r="N117" s="56" t="s">
        <v>271</v>
      </c>
      <c r="O117" s="56">
        <v>80</v>
      </c>
      <c r="P117" s="56">
        <v>1</v>
      </c>
      <c r="Q117" s="58" t="s">
        <v>266</v>
      </c>
      <c r="R117" s="58" t="s">
        <v>25</v>
      </c>
      <c r="S117" s="58" t="s">
        <v>266</v>
      </c>
      <c r="T117" s="58">
        <v>1</v>
      </c>
      <c r="U117" s="56" t="s">
        <v>266</v>
      </c>
      <c r="V117" s="56" t="s">
        <v>266</v>
      </c>
      <c r="W117" s="56" t="s">
        <v>267</v>
      </c>
      <c r="X117" s="56" t="s">
        <v>42</v>
      </c>
    </row>
    <row r="118" spans="1:24" s="45" customFormat="1" ht="75.75" customHeight="1" x14ac:dyDescent="0.25">
      <c r="A118" s="43">
        <v>46092</v>
      </c>
      <c r="B118" s="47" t="s">
        <v>264</v>
      </c>
      <c r="C118" s="44" t="s">
        <v>59</v>
      </c>
      <c r="D118" s="44" t="s">
        <v>69</v>
      </c>
      <c r="E118" s="44" t="s">
        <v>41</v>
      </c>
      <c r="F118" s="44" t="s">
        <v>23</v>
      </c>
      <c r="G118" s="56" t="s">
        <v>16</v>
      </c>
      <c r="H118" s="56" t="s">
        <v>17</v>
      </c>
      <c r="I118" s="56" t="s">
        <v>272</v>
      </c>
      <c r="J118" s="57">
        <v>65000</v>
      </c>
      <c r="K118" s="56" t="s">
        <v>266</v>
      </c>
      <c r="L118" s="56" t="s">
        <v>266</v>
      </c>
      <c r="M118" s="56" t="s">
        <v>229</v>
      </c>
      <c r="N118" s="56" t="s">
        <v>266</v>
      </c>
      <c r="O118" s="56" t="s">
        <v>266</v>
      </c>
      <c r="P118" s="56" t="s">
        <v>266</v>
      </c>
      <c r="Q118" s="58" t="s">
        <v>266</v>
      </c>
      <c r="R118" s="58" t="s">
        <v>25</v>
      </c>
      <c r="S118" s="58" t="s">
        <v>266</v>
      </c>
      <c r="T118" s="58">
        <v>1</v>
      </c>
      <c r="U118" s="56" t="s">
        <v>266</v>
      </c>
      <c r="V118" s="56" t="s">
        <v>266</v>
      </c>
      <c r="W118" s="56" t="s">
        <v>266</v>
      </c>
      <c r="X118" s="56" t="s">
        <v>21</v>
      </c>
    </row>
    <row r="119" spans="1:24" s="45" customFormat="1" ht="75.75" customHeight="1" x14ac:dyDescent="0.25">
      <c r="A119" s="43">
        <v>46092</v>
      </c>
      <c r="B119" s="47" t="s">
        <v>273</v>
      </c>
      <c r="C119" s="44" t="s">
        <v>47</v>
      </c>
      <c r="D119" s="44" t="s">
        <v>81</v>
      </c>
      <c r="E119" s="44" t="s">
        <v>82</v>
      </c>
      <c r="F119" s="44" t="s">
        <v>23</v>
      </c>
      <c r="G119" s="56" t="s">
        <v>16</v>
      </c>
      <c r="H119" s="56" t="s">
        <v>17</v>
      </c>
      <c r="I119" s="56" t="s">
        <v>17</v>
      </c>
      <c r="J119" s="57">
        <v>48000</v>
      </c>
      <c r="K119" s="56" t="s">
        <v>138</v>
      </c>
      <c r="L119" s="56" t="s">
        <v>138</v>
      </c>
      <c r="M119" s="56" t="s">
        <v>274</v>
      </c>
      <c r="N119" s="56" t="s">
        <v>266</v>
      </c>
      <c r="O119" s="56" t="s">
        <v>266</v>
      </c>
      <c r="P119" s="56" t="s">
        <v>266</v>
      </c>
      <c r="Q119" s="58" t="s">
        <v>266</v>
      </c>
      <c r="R119" s="58" t="s">
        <v>25</v>
      </c>
      <c r="S119" s="56" t="s">
        <v>138</v>
      </c>
      <c r="T119" s="56" t="s">
        <v>138</v>
      </c>
      <c r="U119" s="56" t="s">
        <v>266</v>
      </c>
      <c r="V119" s="56" t="s">
        <v>266</v>
      </c>
      <c r="W119" s="56" t="s">
        <v>267</v>
      </c>
      <c r="X119" s="56" t="s">
        <v>42</v>
      </c>
    </row>
    <row r="120" spans="1:24" s="45" customFormat="1" ht="75.75" customHeight="1" x14ac:dyDescent="0.25">
      <c r="A120" s="43">
        <v>46092</v>
      </c>
      <c r="B120" s="47" t="s">
        <v>273</v>
      </c>
      <c r="C120" s="44" t="s">
        <v>47</v>
      </c>
      <c r="D120" s="44" t="s">
        <v>81</v>
      </c>
      <c r="E120" s="44" t="s">
        <v>82</v>
      </c>
      <c r="F120" s="44" t="s">
        <v>23</v>
      </c>
      <c r="G120" s="56" t="s">
        <v>16</v>
      </c>
      <c r="H120" s="56" t="s">
        <v>24</v>
      </c>
      <c r="I120" s="56" t="s">
        <v>275</v>
      </c>
      <c r="J120" s="57">
        <v>69000</v>
      </c>
      <c r="K120" s="56" t="s">
        <v>138</v>
      </c>
      <c r="L120" s="56" t="s">
        <v>138</v>
      </c>
      <c r="M120" s="56" t="s">
        <v>276</v>
      </c>
      <c r="N120" s="56" t="s">
        <v>271</v>
      </c>
      <c r="O120" s="56">
        <v>110</v>
      </c>
      <c r="P120" s="56">
        <v>1</v>
      </c>
      <c r="Q120" s="56" t="s">
        <v>138</v>
      </c>
      <c r="R120" s="58" t="s">
        <v>25</v>
      </c>
      <c r="S120" s="56" t="s">
        <v>138</v>
      </c>
      <c r="T120" s="56" t="s">
        <v>138</v>
      </c>
      <c r="U120" s="56" t="s">
        <v>138</v>
      </c>
      <c r="V120" s="56" t="s">
        <v>138</v>
      </c>
      <c r="W120" s="56" t="s">
        <v>277</v>
      </c>
      <c r="X120" s="56" t="s">
        <v>42</v>
      </c>
    </row>
    <row r="121" spans="1:24" s="45" customFormat="1" ht="75.75" customHeight="1" x14ac:dyDescent="0.25">
      <c r="A121" s="43">
        <v>46092</v>
      </c>
      <c r="B121" s="47" t="s">
        <v>273</v>
      </c>
      <c r="C121" s="44" t="s">
        <v>47</v>
      </c>
      <c r="D121" s="44" t="s">
        <v>81</v>
      </c>
      <c r="E121" s="44" t="s">
        <v>82</v>
      </c>
      <c r="F121" s="44" t="s">
        <v>23</v>
      </c>
      <c r="G121" s="56" t="s">
        <v>16</v>
      </c>
      <c r="H121" s="56" t="s">
        <v>24</v>
      </c>
      <c r="I121" s="56" t="s">
        <v>275</v>
      </c>
      <c r="J121" s="57">
        <v>45000</v>
      </c>
      <c r="K121" s="56" t="s">
        <v>138</v>
      </c>
      <c r="L121" s="56" t="s">
        <v>138</v>
      </c>
      <c r="M121" s="56" t="s">
        <v>278</v>
      </c>
      <c r="N121" s="56" t="s">
        <v>279</v>
      </c>
      <c r="O121" s="56">
        <v>62</v>
      </c>
      <c r="P121" s="56">
        <v>1</v>
      </c>
      <c r="Q121" s="56" t="s">
        <v>138</v>
      </c>
      <c r="R121" s="58" t="s">
        <v>18</v>
      </c>
      <c r="S121" s="58" t="s">
        <v>127</v>
      </c>
      <c r="T121" s="56" t="s">
        <v>138</v>
      </c>
      <c r="U121" s="56" t="s">
        <v>138</v>
      </c>
      <c r="V121" s="56" t="s">
        <v>266</v>
      </c>
      <c r="W121" s="56" t="s">
        <v>280</v>
      </c>
      <c r="X121" s="56" t="s">
        <v>42</v>
      </c>
    </row>
    <row r="122" spans="1:24" s="45" customFormat="1" ht="75.75" customHeight="1" x14ac:dyDescent="0.25">
      <c r="A122" s="43">
        <v>46092</v>
      </c>
      <c r="B122" s="47" t="s">
        <v>273</v>
      </c>
      <c r="C122" s="44" t="s">
        <v>47</v>
      </c>
      <c r="D122" s="44" t="s">
        <v>81</v>
      </c>
      <c r="E122" s="44" t="s">
        <v>82</v>
      </c>
      <c r="F122" s="44" t="s">
        <v>23</v>
      </c>
      <c r="G122" s="56" t="s">
        <v>16</v>
      </c>
      <c r="H122" s="56" t="s">
        <v>17</v>
      </c>
      <c r="I122" s="56" t="s">
        <v>272</v>
      </c>
      <c r="J122" s="57">
        <v>56000</v>
      </c>
      <c r="K122" s="56" t="s">
        <v>138</v>
      </c>
      <c r="L122" s="56" t="s">
        <v>138</v>
      </c>
      <c r="M122" s="56" t="s">
        <v>281</v>
      </c>
      <c r="N122" s="56" t="s">
        <v>279</v>
      </c>
      <c r="O122" s="56" t="s">
        <v>138</v>
      </c>
      <c r="P122" s="56" t="s">
        <v>138</v>
      </c>
      <c r="Q122" s="56" t="s">
        <v>138</v>
      </c>
      <c r="R122" s="58" t="s">
        <v>25</v>
      </c>
      <c r="S122" s="56" t="s">
        <v>138</v>
      </c>
      <c r="T122" s="56" t="s">
        <v>138</v>
      </c>
      <c r="U122" s="56" t="s">
        <v>138</v>
      </c>
      <c r="V122" s="56" t="s">
        <v>138</v>
      </c>
      <c r="W122" s="56" t="s">
        <v>282</v>
      </c>
      <c r="X122" s="56" t="s">
        <v>42</v>
      </c>
    </row>
    <row r="123" spans="1:24" s="68" customFormat="1" x14ac:dyDescent="0.25">
      <c r="A123" s="62"/>
      <c r="B123" s="63"/>
      <c r="C123" s="64"/>
      <c r="D123" s="64"/>
      <c r="E123" s="64"/>
      <c r="F123" s="64"/>
      <c r="G123" s="65"/>
      <c r="H123" s="65"/>
      <c r="I123" s="65"/>
      <c r="J123" s="66"/>
      <c r="K123" s="65"/>
      <c r="L123" s="65"/>
      <c r="M123" s="65"/>
      <c r="N123" s="65"/>
      <c r="O123" s="65"/>
      <c r="P123" s="65" t="str">
        <f>SUBSTITUTE(DatosHogar[[#This Row],[Observación]], "008 - Campaña Escarlata Exclusiva R2", " HD - 1 Deco Digital")</f>
        <v/>
      </c>
      <c r="Q123" s="67"/>
      <c r="R123" s="67"/>
      <c r="S123" s="67"/>
      <c r="T123" s="67"/>
      <c r="U123" s="65"/>
      <c r="V123" s="65"/>
      <c r="W123" s="65"/>
      <c r="X123" s="65"/>
    </row>
    <row r="124" spans="1:24" s="68" customFormat="1" x14ac:dyDescent="0.25">
      <c r="A124" s="69"/>
      <c r="B124" s="70"/>
      <c r="C124" s="71"/>
      <c r="D124" s="71"/>
      <c r="E124" s="71"/>
      <c r="F124" s="71"/>
      <c r="G124" s="72"/>
      <c r="H124" s="72"/>
      <c r="I124" s="72"/>
      <c r="J124" s="73"/>
      <c r="K124" s="72"/>
      <c r="L124" s="72"/>
      <c r="M124" s="72"/>
      <c r="N124" s="72"/>
      <c r="O124" s="72"/>
      <c r="P124" s="72" t="str">
        <f>SUBSTITUTE(DatosHogar[[#This Row],[Observación]], "008 - Campaña Escarlata Exclusiva R2", " HD - 1 Deco Digital")</f>
        <v/>
      </c>
      <c r="Q124" s="74"/>
      <c r="R124" s="74"/>
      <c r="S124" s="74"/>
      <c r="T124" s="74"/>
      <c r="U124" s="72"/>
      <c r="V124" s="72"/>
      <c r="W124" s="72"/>
      <c r="X124" s="65"/>
    </row>
    <row r="125" spans="1:24" s="68" customFormat="1" x14ac:dyDescent="0.25">
      <c r="A125" s="69"/>
      <c r="B125" s="70"/>
      <c r="C125" s="71"/>
      <c r="D125" s="71"/>
      <c r="E125" s="71"/>
      <c r="F125" s="71"/>
      <c r="G125" s="72"/>
      <c r="H125" s="72"/>
      <c r="I125" s="72"/>
      <c r="J125" s="73"/>
      <c r="K125" s="72"/>
      <c r="L125" s="72"/>
      <c r="M125" s="72"/>
      <c r="N125" s="72"/>
      <c r="O125" s="72"/>
      <c r="P125" s="72" t="str">
        <f>SUBSTITUTE(DatosHogar[[#This Row],[Observación]], "008 - Campaña Escarlata Exclusiva R2", " HD - 1 Deco Digital")</f>
        <v/>
      </c>
      <c r="Q125" s="74"/>
      <c r="R125" s="74"/>
      <c r="S125" s="74"/>
      <c r="T125" s="74"/>
      <c r="U125" s="72"/>
      <c r="V125" s="72"/>
      <c r="W125" s="72"/>
      <c r="X125" s="65"/>
    </row>
    <row r="126" spans="1:24" s="68" customFormat="1" x14ac:dyDescent="0.25">
      <c r="A126" s="69"/>
      <c r="B126" s="70"/>
      <c r="C126" s="71"/>
      <c r="D126" s="71"/>
      <c r="E126" s="71"/>
      <c r="F126" s="71"/>
      <c r="G126" s="72"/>
      <c r="H126" s="72"/>
      <c r="I126" s="72"/>
      <c r="J126" s="73"/>
      <c r="K126" s="72"/>
      <c r="L126" s="72"/>
      <c r="M126" s="72"/>
      <c r="N126" s="72"/>
      <c r="O126" s="72"/>
      <c r="P126" s="72" t="str">
        <f>SUBSTITUTE(DatosHogar[[#This Row],[Observación]], "008 - Campaña Escarlata Exclusiva R2", " HD - 1 Deco Digital")</f>
        <v/>
      </c>
      <c r="Q126" s="74"/>
      <c r="R126" s="74"/>
      <c r="S126" s="74"/>
      <c r="T126" s="74"/>
      <c r="U126" s="72"/>
      <c r="V126" s="72"/>
      <c r="W126" s="72"/>
      <c r="X126" s="65"/>
    </row>
    <row r="127" spans="1:24" s="68" customFormat="1" x14ac:dyDescent="0.25">
      <c r="A127" s="69"/>
      <c r="B127" s="70"/>
      <c r="C127" s="71"/>
      <c r="D127" s="71"/>
      <c r="E127" s="71"/>
      <c r="F127" s="71"/>
      <c r="G127" s="72"/>
      <c r="H127" s="72"/>
      <c r="I127" s="72"/>
      <c r="J127" s="73"/>
      <c r="K127" s="72"/>
      <c r="L127" s="72"/>
      <c r="M127" s="72"/>
      <c r="N127" s="72"/>
      <c r="O127" s="72"/>
      <c r="P127" s="72" t="str">
        <f>SUBSTITUTE(DatosHogar[[#This Row],[Observación]], "008 - Campaña Escarlata Exclusiva R2", " HD - 1 Deco Digital")</f>
        <v/>
      </c>
      <c r="Q127" s="74"/>
      <c r="R127" s="74"/>
      <c r="S127" s="74"/>
      <c r="T127" s="74"/>
      <c r="U127" s="72"/>
      <c r="V127" s="72"/>
      <c r="W127" s="72"/>
      <c r="X127" s="65"/>
    </row>
    <row r="128" spans="1:24" s="68" customFormat="1" x14ac:dyDescent="0.25">
      <c r="A128" s="69"/>
      <c r="B128" s="70"/>
      <c r="C128" s="71"/>
      <c r="D128" s="71"/>
      <c r="E128" s="71"/>
      <c r="F128" s="71"/>
      <c r="G128" s="72"/>
      <c r="H128" s="72"/>
      <c r="I128" s="72"/>
      <c r="J128" s="73"/>
      <c r="K128" s="72"/>
      <c r="L128" s="72"/>
      <c r="M128" s="72"/>
      <c r="N128" s="72"/>
      <c r="O128" s="72"/>
      <c r="P128" s="72" t="str">
        <f>SUBSTITUTE(DatosHogar[[#This Row],[Observación]], "008 - Campaña Escarlata Exclusiva R2", " HD - 1 Deco Digital")</f>
        <v/>
      </c>
      <c r="Q128" s="74"/>
      <c r="R128" s="74"/>
      <c r="S128" s="74"/>
      <c r="T128" s="74"/>
      <c r="U128" s="72"/>
      <c r="V128" s="72"/>
      <c r="W128" s="72"/>
      <c r="X128" s="65"/>
    </row>
    <row r="129" spans="1:24" s="68" customFormat="1" x14ac:dyDescent="0.25">
      <c r="A129" s="69"/>
      <c r="B129" s="70"/>
      <c r="C129" s="71"/>
      <c r="D129" s="71"/>
      <c r="E129" s="71"/>
      <c r="F129" s="71"/>
      <c r="G129" s="72"/>
      <c r="H129" s="72"/>
      <c r="I129" s="72"/>
      <c r="J129" s="73"/>
      <c r="K129" s="72"/>
      <c r="L129" s="72"/>
      <c r="M129" s="72"/>
      <c r="N129" s="72"/>
      <c r="O129" s="72"/>
      <c r="P129" s="72" t="str">
        <f>SUBSTITUTE(DatosHogar[[#This Row],[Observación]], "008 - Campaña Escarlata Exclusiva R2", " HD - 1 Deco Digital")</f>
        <v/>
      </c>
      <c r="Q129" s="74"/>
      <c r="R129" s="74"/>
      <c r="S129" s="74"/>
      <c r="T129" s="74"/>
      <c r="U129" s="72"/>
      <c r="V129" s="72"/>
      <c r="W129" s="72"/>
      <c r="X129" s="65"/>
    </row>
    <row r="130" spans="1:24" s="68" customFormat="1" x14ac:dyDescent="0.25">
      <c r="A130" s="69"/>
      <c r="B130" s="70"/>
      <c r="C130" s="71"/>
      <c r="D130" s="71"/>
      <c r="E130" s="71"/>
      <c r="F130" s="71"/>
      <c r="G130" s="72"/>
      <c r="H130" s="72"/>
      <c r="I130" s="72"/>
      <c r="J130" s="73"/>
      <c r="K130" s="72"/>
      <c r="L130" s="72"/>
      <c r="M130" s="72"/>
      <c r="N130" s="72"/>
      <c r="O130" s="72"/>
      <c r="P130" s="72" t="str">
        <f>SUBSTITUTE(DatosHogar[[#This Row],[Observación]], "008 - Campaña Escarlata Exclusiva R2", " HD - 1 Deco Digital")</f>
        <v/>
      </c>
      <c r="Q130" s="74"/>
      <c r="R130" s="74"/>
      <c r="S130" s="74"/>
      <c r="T130" s="74"/>
      <c r="U130" s="72"/>
      <c r="V130" s="72"/>
      <c r="W130" s="72"/>
      <c r="X130" s="65"/>
    </row>
    <row r="131" spans="1:24" s="68" customFormat="1" x14ac:dyDescent="0.25">
      <c r="A131" s="69"/>
      <c r="B131" s="70"/>
      <c r="C131" s="71"/>
      <c r="D131" s="71"/>
      <c r="E131" s="71"/>
      <c r="F131" s="71"/>
      <c r="G131" s="72"/>
      <c r="H131" s="72"/>
      <c r="I131" s="72"/>
      <c r="J131" s="73"/>
      <c r="K131" s="72"/>
      <c r="L131" s="72"/>
      <c r="M131" s="72"/>
      <c r="N131" s="72"/>
      <c r="O131" s="72"/>
      <c r="P131" s="72" t="str">
        <f>SUBSTITUTE(DatosHogar[[#This Row],[Observación]], "008 - Campaña Escarlata Exclusiva R2", " HD - 1 Deco Digital")</f>
        <v/>
      </c>
      <c r="Q131" s="74"/>
      <c r="R131" s="74"/>
      <c r="S131" s="74"/>
      <c r="T131" s="74"/>
      <c r="U131" s="72"/>
      <c r="V131" s="72"/>
      <c r="W131" s="72"/>
      <c r="X131" s="65"/>
    </row>
    <row r="132" spans="1:24" s="68" customFormat="1" x14ac:dyDescent="0.25">
      <c r="A132" s="69"/>
      <c r="B132" s="70"/>
      <c r="C132" s="71"/>
      <c r="D132" s="71"/>
      <c r="E132" s="71"/>
      <c r="F132" s="71"/>
      <c r="G132" s="72"/>
      <c r="H132" s="72"/>
      <c r="I132" s="72"/>
      <c r="J132" s="73"/>
      <c r="K132" s="72"/>
      <c r="L132" s="72"/>
      <c r="M132" s="72"/>
      <c r="N132" s="72"/>
      <c r="O132" s="72"/>
      <c r="P132" s="72" t="str">
        <f>SUBSTITUTE(DatosHogar[[#This Row],[Observación]], "008 - Campaña Escarlata Exclusiva R2", " HD - 1 Deco Digital")</f>
        <v/>
      </c>
      <c r="Q132" s="74"/>
      <c r="R132" s="74"/>
      <c r="S132" s="74"/>
      <c r="T132" s="74"/>
      <c r="U132" s="72"/>
      <c r="V132" s="72"/>
      <c r="W132" s="72"/>
      <c r="X132" s="65"/>
    </row>
    <row r="133" spans="1:24" s="68" customFormat="1" x14ac:dyDescent="0.25">
      <c r="A133" s="69"/>
      <c r="B133" s="70"/>
      <c r="C133" s="71"/>
      <c r="D133" s="71"/>
      <c r="E133" s="71"/>
      <c r="F133" s="71"/>
      <c r="G133" s="72"/>
      <c r="H133" s="72"/>
      <c r="I133" s="72"/>
      <c r="J133" s="73"/>
      <c r="K133" s="72"/>
      <c r="L133" s="72"/>
      <c r="M133" s="72"/>
      <c r="N133" s="72"/>
      <c r="O133" s="72"/>
      <c r="P133" s="72" t="str">
        <f>SUBSTITUTE(DatosHogar[[#This Row],[Observación]], "008 - Campaña Escarlata Exclusiva R2", " HD - 1 Deco Digital")</f>
        <v/>
      </c>
      <c r="Q133" s="74"/>
      <c r="R133" s="74"/>
      <c r="S133" s="74"/>
      <c r="T133" s="74"/>
      <c r="U133" s="72"/>
      <c r="V133" s="72"/>
      <c r="W133" s="72"/>
      <c r="X133" s="65"/>
    </row>
    <row r="134" spans="1:24" s="68" customFormat="1" x14ac:dyDescent="0.25">
      <c r="A134" s="69"/>
      <c r="B134" s="70"/>
      <c r="C134" s="71"/>
      <c r="D134" s="71"/>
      <c r="E134" s="71"/>
      <c r="F134" s="71"/>
      <c r="G134" s="72"/>
      <c r="H134" s="72"/>
      <c r="I134" s="72"/>
      <c r="J134" s="73"/>
      <c r="K134" s="72"/>
      <c r="L134" s="72"/>
      <c r="M134" s="72"/>
      <c r="N134" s="72"/>
      <c r="O134" s="72"/>
      <c r="P134" s="72" t="str">
        <f>SUBSTITUTE(DatosHogar[[#This Row],[Observación]], "008 - Campaña Escarlata Exclusiva R2", " HD - 1 Deco Digital")</f>
        <v/>
      </c>
      <c r="Q134" s="74"/>
      <c r="R134" s="74"/>
      <c r="S134" s="74"/>
      <c r="T134" s="74"/>
      <c r="U134" s="72"/>
      <c r="V134" s="72"/>
      <c r="W134" s="72"/>
      <c r="X134" s="65"/>
    </row>
    <row r="135" spans="1:24" s="68" customFormat="1" x14ac:dyDescent="0.25">
      <c r="A135" s="69"/>
      <c r="B135" s="70"/>
      <c r="C135" s="71"/>
      <c r="D135" s="71"/>
      <c r="E135" s="71"/>
      <c r="F135" s="71"/>
      <c r="G135" s="72"/>
      <c r="H135" s="72"/>
      <c r="I135" s="72"/>
      <c r="J135" s="73"/>
      <c r="K135" s="72"/>
      <c r="L135" s="72"/>
      <c r="M135" s="72"/>
      <c r="N135" s="72"/>
      <c r="O135" s="72"/>
      <c r="P135" s="72" t="str">
        <f>SUBSTITUTE(DatosHogar[[#This Row],[Observación]], "008 - Campaña Escarlata Exclusiva R2", " HD - 1 Deco Digital")</f>
        <v/>
      </c>
      <c r="Q135" s="74"/>
      <c r="R135" s="74"/>
      <c r="S135" s="74"/>
      <c r="T135" s="74"/>
      <c r="U135" s="72"/>
      <c r="V135" s="72"/>
      <c r="W135" s="72"/>
      <c r="X135" s="65"/>
    </row>
    <row r="136" spans="1:24" s="68" customFormat="1" x14ac:dyDescent="0.25">
      <c r="A136" s="69"/>
      <c r="B136" s="70"/>
      <c r="C136" s="71"/>
      <c r="D136" s="71"/>
      <c r="E136" s="71"/>
      <c r="F136" s="71"/>
      <c r="G136" s="72"/>
      <c r="H136" s="72"/>
      <c r="I136" s="72"/>
      <c r="J136" s="73"/>
      <c r="K136" s="72"/>
      <c r="L136" s="72"/>
      <c r="M136" s="72"/>
      <c r="N136" s="72"/>
      <c r="O136" s="72"/>
      <c r="P136" s="72" t="str">
        <f>SUBSTITUTE(DatosHogar[[#This Row],[Observación]], "008 - Campaña Escarlata Exclusiva R2", " HD - 1 Deco Digital")</f>
        <v/>
      </c>
      <c r="Q136" s="74"/>
      <c r="R136" s="74"/>
      <c r="S136" s="74"/>
      <c r="T136" s="74"/>
      <c r="U136" s="72"/>
      <c r="V136" s="72"/>
      <c r="W136" s="72"/>
      <c r="X136" s="65"/>
    </row>
    <row r="137" spans="1:24" s="68" customFormat="1" x14ac:dyDescent="0.25">
      <c r="A137" s="69"/>
      <c r="B137" s="70"/>
      <c r="C137" s="71"/>
      <c r="D137" s="71"/>
      <c r="E137" s="71"/>
      <c r="F137" s="71"/>
      <c r="G137" s="72"/>
      <c r="H137" s="72"/>
      <c r="I137" s="72"/>
      <c r="J137" s="73"/>
      <c r="K137" s="72"/>
      <c r="L137" s="72"/>
      <c r="M137" s="72"/>
      <c r="N137" s="72"/>
      <c r="O137" s="72"/>
      <c r="P137" s="72" t="str">
        <f>SUBSTITUTE(DatosHogar[[#This Row],[Observación]], "008 - Campaña Escarlata Exclusiva R2", " HD - 1 Deco Digital")</f>
        <v/>
      </c>
      <c r="Q137" s="74"/>
      <c r="R137" s="74"/>
      <c r="S137" s="74"/>
      <c r="T137" s="74"/>
      <c r="U137" s="72"/>
      <c r="V137" s="72"/>
      <c r="W137" s="72"/>
      <c r="X137" s="65"/>
    </row>
    <row r="138" spans="1:24" s="68" customFormat="1" x14ac:dyDescent="0.25">
      <c r="A138" s="69"/>
      <c r="B138" s="70"/>
      <c r="C138" s="71"/>
      <c r="D138" s="71"/>
      <c r="E138" s="71"/>
      <c r="F138" s="71"/>
      <c r="G138" s="72"/>
      <c r="H138" s="72"/>
      <c r="I138" s="72"/>
      <c r="J138" s="73"/>
      <c r="K138" s="72"/>
      <c r="L138" s="72"/>
      <c r="M138" s="72"/>
      <c r="N138" s="72"/>
      <c r="O138" s="72"/>
      <c r="P138" s="72" t="str">
        <f>SUBSTITUTE(DatosHogar[[#This Row],[Observación]], "008 - Campaña Escarlata Exclusiva R2", " HD - 1 Deco Digital")</f>
        <v/>
      </c>
      <c r="Q138" s="74"/>
      <c r="R138" s="74"/>
      <c r="S138" s="74"/>
      <c r="T138" s="74"/>
      <c r="U138" s="72"/>
      <c r="V138" s="72"/>
      <c r="W138" s="72"/>
      <c r="X138" s="65"/>
    </row>
    <row r="139" spans="1:24" s="68" customFormat="1" x14ac:dyDescent="0.25">
      <c r="A139" s="69"/>
      <c r="B139" s="70"/>
      <c r="C139" s="71"/>
      <c r="D139" s="71"/>
      <c r="E139" s="71"/>
      <c r="F139" s="71"/>
      <c r="G139" s="72"/>
      <c r="H139" s="72"/>
      <c r="I139" s="72"/>
      <c r="J139" s="73"/>
      <c r="K139" s="72"/>
      <c r="L139" s="72"/>
      <c r="M139" s="72"/>
      <c r="N139" s="72"/>
      <c r="O139" s="72"/>
      <c r="P139" s="72" t="str">
        <f>SUBSTITUTE(DatosHogar[[#This Row],[Observación]], "008 - Campaña Escarlata Exclusiva R2", " HD - 1 Deco Digital")</f>
        <v/>
      </c>
      <c r="Q139" s="74"/>
      <c r="R139" s="74"/>
      <c r="S139" s="74"/>
      <c r="T139" s="74"/>
      <c r="U139" s="72"/>
      <c r="V139" s="72"/>
      <c r="W139" s="72"/>
      <c r="X139" s="65"/>
    </row>
    <row r="140" spans="1:24" s="68" customFormat="1" x14ac:dyDescent="0.25">
      <c r="A140" s="69"/>
      <c r="B140" s="70"/>
      <c r="C140" s="71"/>
      <c r="D140" s="71"/>
      <c r="E140" s="71"/>
      <c r="F140" s="71"/>
      <c r="G140" s="72"/>
      <c r="H140" s="72"/>
      <c r="I140" s="72"/>
      <c r="J140" s="73"/>
      <c r="K140" s="72"/>
      <c r="L140" s="72"/>
      <c r="M140" s="72"/>
      <c r="N140" s="72"/>
      <c r="O140" s="72"/>
      <c r="P140" s="72" t="str">
        <f>SUBSTITUTE(DatosHogar[[#This Row],[Observación]], "008 - Campaña Escarlata Exclusiva R2", " HD - 1 Deco Digital")</f>
        <v/>
      </c>
      <c r="Q140" s="74"/>
      <c r="R140" s="74"/>
      <c r="S140" s="74"/>
      <c r="T140" s="74"/>
      <c r="U140" s="72"/>
      <c r="V140" s="72"/>
      <c r="W140" s="72"/>
      <c r="X140" s="65"/>
    </row>
    <row r="141" spans="1:24" s="68" customFormat="1" x14ac:dyDescent="0.25">
      <c r="A141" s="69"/>
      <c r="B141" s="70"/>
      <c r="C141" s="71"/>
      <c r="D141" s="71"/>
      <c r="E141" s="71"/>
      <c r="F141" s="71"/>
      <c r="G141" s="72"/>
      <c r="H141" s="72"/>
      <c r="I141" s="72"/>
      <c r="J141" s="73"/>
      <c r="K141" s="72"/>
      <c r="L141" s="72"/>
      <c r="M141" s="72"/>
      <c r="N141" s="72"/>
      <c r="O141" s="72"/>
      <c r="P141" s="72" t="str">
        <f>SUBSTITUTE(DatosHogar[[#This Row],[Observación]], "008 - Campaña Escarlata Exclusiva R2", " HD - 1 Deco Digital")</f>
        <v/>
      </c>
      <c r="Q141" s="74"/>
      <c r="R141" s="74"/>
      <c r="S141" s="74"/>
      <c r="T141" s="74"/>
      <c r="U141" s="72"/>
      <c r="V141" s="72"/>
      <c r="W141" s="72"/>
      <c r="X141" s="65"/>
    </row>
    <row r="142" spans="1:24" s="68" customFormat="1" x14ac:dyDescent="0.25">
      <c r="A142" s="69"/>
      <c r="B142" s="70"/>
      <c r="C142" s="71"/>
      <c r="D142" s="71"/>
      <c r="E142" s="71"/>
      <c r="F142" s="71"/>
      <c r="G142" s="72"/>
      <c r="H142" s="72"/>
      <c r="I142" s="72"/>
      <c r="J142" s="73"/>
      <c r="K142" s="72"/>
      <c r="L142" s="72"/>
      <c r="M142" s="72"/>
      <c r="N142" s="72"/>
      <c r="O142" s="72"/>
      <c r="P142" s="72" t="str">
        <f>SUBSTITUTE(DatosHogar[[#This Row],[Observación]], "008 - Campaña Escarlata Exclusiva R2", " HD - 1 Deco Digital")</f>
        <v/>
      </c>
      <c r="Q142" s="74"/>
      <c r="R142" s="74"/>
      <c r="S142" s="74"/>
      <c r="T142" s="74"/>
      <c r="U142" s="72"/>
      <c r="V142" s="72"/>
      <c r="W142" s="72"/>
      <c r="X142" s="65"/>
    </row>
    <row r="143" spans="1:24" s="68" customFormat="1" x14ac:dyDescent="0.25">
      <c r="A143" s="69"/>
      <c r="B143" s="70"/>
      <c r="C143" s="71"/>
      <c r="D143" s="71"/>
      <c r="E143" s="71"/>
      <c r="F143" s="71"/>
      <c r="G143" s="72"/>
      <c r="H143" s="72"/>
      <c r="I143" s="72"/>
      <c r="J143" s="73"/>
      <c r="K143" s="72"/>
      <c r="L143" s="72"/>
      <c r="M143" s="72"/>
      <c r="N143" s="72"/>
      <c r="O143" s="72"/>
      <c r="P143" s="72" t="str">
        <f>SUBSTITUTE(DatosHogar[[#This Row],[Observación]], "008 - Campaña Escarlata Exclusiva R2", " HD - 1 Deco Digital")</f>
        <v/>
      </c>
      <c r="Q143" s="74"/>
      <c r="R143" s="74"/>
      <c r="S143" s="74"/>
      <c r="T143" s="74"/>
      <c r="U143" s="72"/>
      <c r="V143" s="72"/>
      <c r="W143" s="72"/>
      <c r="X143" s="65"/>
    </row>
    <row r="144" spans="1:24" s="68" customFormat="1" x14ac:dyDescent="0.25">
      <c r="A144" s="69"/>
      <c r="B144" s="70"/>
      <c r="C144" s="71"/>
      <c r="D144" s="71"/>
      <c r="E144" s="71"/>
      <c r="F144" s="71"/>
      <c r="G144" s="72"/>
      <c r="H144" s="72"/>
      <c r="I144" s="72"/>
      <c r="J144" s="73"/>
      <c r="K144" s="72"/>
      <c r="L144" s="72"/>
      <c r="M144" s="72"/>
      <c r="N144" s="72"/>
      <c r="O144" s="72"/>
      <c r="P144" s="72" t="str">
        <f>SUBSTITUTE(DatosHogar[[#This Row],[Observación]], "008 - Campaña Escarlata Exclusiva R2", " HD - 1 Deco Digital")</f>
        <v/>
      </c>
      <c r="Q144" s="74"/>
      <c r="R144" s="74"/>
      <c r="S144" s="74"/>
      <c r="T144" s="74"/>
      <c r="U144" s="72"/>
      <c r="V144" s="72"/>
      <c r="W144" s="72"/>
      <c r="X144" s="65"/>
    </row>
    <row r="145" spans="1:24" s="68" customFormat="1" x14ac:dyDescent="0.25">
      <c r="A145" s="69"/>
      <c r="B145" s="70"/>
      <c r="C145" s="71"/>
      <c r="D145" s="71"/>
      <c r="E145" s="71"/>
      <c r="F145" s="71"/>
      <c r="G145" s="72"/>
      <c r="H145" s="72"/>
      <c r="I145" s="72"/>
      <c r="J145" s="73"/>
      <c r="K145" s="72"/>
      <c r="L145" s="72"/>
      <c r="M145" s="72"/>
      <c r="N145" s="72"/>
      <c r="O145" s="72"/>
      <c r="P145" s="72" t="str">
        <f>SUBSTITUTE(DatosHogar[[#This Row],[Observación]], "008 - Campaña Escarlata Exclusiva R2", " HD - 1 Deco Digital")</f>
        <v/>
      </c>
      <c r="Q145" s="74"/>
      <c r="R145" s="74"/>
      <c r="S145" s="74"/>
      <c r="T145" s="74"/>
      <c r="U145" s="72"/>
      <c r="V145" s="72"/>
      <c r="W145" s="72"/>
      <c r="X145" s="65"/>
    </row>
    <row r="146" spans="1:24" s="68" customFormat="1" x14ac:dyDescent="0.25">
      <c r="A146" s="69"/>
      <c r="B146" s="70"/>
      <c r="C146" s="71"/>
      <c r="D146" s="71"/>
      <c r="E146" s="71"/>
      <c r="F146" s="71"/>
      <c r="G146" s="72"/>
      <c r="H146" s="72"/>
      <c r="I146" s="72"/>
      <c r="J146" s="73"/>
      <c r="K146" s="72"/>
      <c r="L146" s="72"/>
      <c r="M146" s="72"/>
      <c r="N146" s="72"/>
      <c r="O146" s="72"/>
      <c r="P146" s="72" t="str">
        <f>SUBSTITUTE(DatosHogar[[#This Row],[Observación]], "008 - Campaña Escarlata Exclusiva R2", " HD - 1 Deco Digital")</f>
        <v/>
      </c>
      <c r="Q146" s="74"/>
      <c r="R146" s="74"/>
      <c r="S146" s="74"/>
      <c r="T146" s="74"/>
      <c r="U146" s="72"/>
      <c r="V146" s="72"/>
      <c r="W146" s="72"/>
      <c r="X146" s="65"/>
    </row>
    <row r="147" spans="1:24" s="68" customFormat="1" x14ac:dyDescent="0.25">
      <c r="A147" s="69"/>
      <c r="B147" s="70"/>
      <c r="C147" s="71"/>
      <c r="D147" s="71"/>
      <c r="E147" s="71"/>
      <c r="F147" s="71"/>
      <c r="G147" s="72"/>
      <c r="H147" s="72"/>
      <c r="I147" s="72"/>
      <c r="J147" s="73"/>
      <c r="K147" s="72"/>
      <c r="L147" s="72"/>
      <c r="M147" s="72"/>
      <c r="N147" s="72"/>
      <c r="O147" s="72"/>
      <c r="P147" s="72" t="str">
        <f>SUBSTITUTE(DatosHogar[[#This Row],[Observación]], "008 - Campaña Escarlata Exclusiva R2", " HD - 1 Deco Digital")</f>
        <v/>
      </c>
      <c r="Q147" s="74"/>
      <c r="R147" s="74"/>
      <c r="S147" s="74"/>
      <c r="T147" s="74"/>
      <c r="U147" s="72"/>
      <c r="V147" s="72"/>
      <c r="W147" s="72"/>
      <c r="X147" s="65"/>
    </row>
    <row r="148" spans="1:24" s="68" customFormat="1" x14ac:dyDescent="0.25">
      <c r="A148" s="69"/>
      <c r="B148" s="70"/>
      <c r="C148" s="71"/>
      <c r="D148" s="71"/>
      <c r="E148" s="71"/>
      <c r="F148" s="71"/>
      <c r="G148" s="72"/>
      <c r="H148" s="72"/>
      <c r="I148" s="72"/>
      <c r="J148" s="73"/>
      <c r="K148" s="72"/>
      <c r="L148" s="72"/>
      <c r="M148" s="72"/>
      <c r="N148" s="72"/>
      <c r="O148" s="72"/>
      <c r="P148" s="72" t="str">
        <f>SUBSTITUTE(DatosHogar[[#This Row],[Observación]], "008 - Campaña Escarlata Exclusiva R2", " HD - 1 Deco Digital")</f>
        <v/>
      </c>
      <c r="Q148" s="74"/>
      <c r="R148" s="74"/>
      <c r="S148" s="74"/>
      <c r="T148" s="74"/>
      <c r="U148" s="72"/>
      <c r="V148" s="72"/>
      <c r="W148" s="72"/>
      <c r="X148" s="65"/>
    </row>
    <row r="149" spans="1:24" s="68" customFormat="1" x14ac:dyDescent="0.25">
      <c r="A149" s="69"/>
      <c r="B149" s="70"/>
      <c r="C149" s="71"/>
      <c r="D149" s="71"/>
      <c r="E149" s="71"/>
      <c r="F149" s="71"/>
      <c r="G149" s="72"/>
      <c r="H149" s="72"/>
      <c r="I149" s="72"/>
      <c r="J149" s="73"/>
      <c r="K149" s="72"/>
      <c r="L149" s="72"/>
      <c r="M149" s="72"/>
      <c r="N149" s="72"/>
      <c r="O149" s="72"/>
      <c r="P149" s="72" t="str">
        <f>SUBSTITUTE(DatosHogar[[#This Row],[Observación]], "008 - Campaña Escarlata Exclusiva R2", " HD - 1 Deco Digital")</f>
        <v/>
      </c>
      <c r="Q149" s="74"/>
      <c r="R149" s="74"/>
      <c r="S149" s="74"/>
      <c r="T149" s="74"/>
      <c r="U149" s="72"/>
      <c r="V149" s="72"/>
      <c r="W149" s="72"/>
      <c r="X149" s="65"/>
    </row>
    <row r="150" spans="1:24" s="68" customFormat="1" x14ac:dyDescent="0.25">
      <c r="A150" s="69"/>
      <c r="B150" s="70"/>
      <c r="C150" s="71"/>
      <c r="D150" s="71"/>
      <c r="E150" s="71"/>
      <c r="F150" s="71"/>
      <c r="G150" s="72"/>
      <c r="H150" s="72"/>
      <c r="I150" s="72"/>
      <c r="J150" s="73"/>
      <c r="K150" s="72"/>
      <c r="L150" s="72"/>
      <c r="M150" s="72"/>
      <c r="N150" s="72"/>
      <c r="O150" s="72"/>
      <c r="P150" s="72" t="str">
        <f>SUBSTITUTE(DatosHogar[[#This Row],[Observación]], "008 - Campaña Escarlata Exclusiva R2", " HD - 1 Deco Digital")</f>
        <v/>
      </c>
      <c r="Q150" s="74"/>
      <c r="R150" s="74"/>
      <c r="S150" s="74"/>
      <c r="T150" s="74"/>
      <c r="U150" s="72"/>
      <c r="V150" s="72"/>
      <c r="W150" s="72"/>
      <c r="X150" s="65"/>
    </row>
    <row r="151" spans="1:24" s="68" customFormat="1" x14ac:dyDescent="0.25">
      <c r="A151" s="69"/>
      <c r="B151" s="70"/>
      <c r="C151" s="71"/>
      <c r="D151" s="71"/>
      <c r="E151" s="71"/>
      <c r="F151" s="71"/>
      <c r="G151" s="72"/>
      <c r="H151" s="72"/>
      <c r="I151" s="72"/>
      <c r="J151" s="73"/>
      <c r="K151" s="72"/>
      <c r="L151" s="72"/>
      <c r="M151" s="72"/>
      <c r="N151" s="72"/>
      <c r="O151" s="72"/>
      <c r="P151" s="72" t="str">
        <f>SUBSTITUTE(DatosHogar[[#This Row],[Observación]], "008 - Campaña Escarlata Exclusiva R2", " HD - 1 Deco Digital")</f>
        <v/>
      </c>
      <c r="Q151" s="74"/>
      <c r="R151" s="74"/>
      <c r="S151" s="74"/>
      <c r="T151" s="74"/>
      <c r="U151" s="72"/>
      <c r="V151" s="72"/>
      <c r="W151" s="72"/>
      <c r="X151" s="65"/>
    </row>
    <row r="152" spans="1:24" s="68" customFormat="1" x14ac:dyDescent="0.25">
      <c r="A152" s="69"/>
      <c r="B152" s="70"/>
      <c r="C152" s="71"/>
      <c r="D152" s="71"/>
      <c r="E152" s="71"/>
      <c r="F152" s="71"/>
      <c r="G152" s="72"/>
      <c r="H152" s="72"/>
      <c r="I152" s="72"/>
      <c r="J152" s="73"/>
      <c r="K152" s="72"/>
      <c r="L152" s="72"/>
      <c r="M152" s="72"/>
      <c r="N152" s="72"/>
      <c r="O152" s="72"/>
      <c r="P152" s="72" t="str">
        <f>SUBSTITUTE(DatosHogar[[#This Row],[Observación]], "008 - Campaña Escarlata Exclusiva R2", " HD - 1 Deco Digital")</f>
        <v/>
      </c>
      <c r="Q152" s="74"/>
      <c r="R152" s="74"/>
      <c r="S152" s="74"/>
      <c r="T152" s="74"/>
      <c r="U152" s="72"/>
      <c r="V152" s="72"/>
      <c r="W152" s="72"/>
      <c r="X152" s="65"/>
    </row>
    <row r="153" spans="1:24" s="68" customFormat="1" x14ac:dyDescent="0.25">
      <c r="A153" s="69"/>
      <c r="B153" s="70"/>
      <c r="C153" s="71"/>
      <c r="D153" s="71"/>
      <c r="E153" s="71"/>
      <c r="F153" s="71"/>
      <c r="G153" s="72"/>
      <c r="H153" s="72"/>
      <c r="I153" s="72"/>
      <c r="J153" s="73"/>
      <c r="K153" s="72"/>
      <c r="L153" s="72"/>
      <c r="M153" s="72"/>
      <c r="N153" s="72"/>
      <c r="O153" s="72"/>
      <c r="P153" s="72" t="str">
        <f>SUBSTITUTE(DatosHogar[[#This Row],[Observación]], "008 - Campaña Escarlata Exclusiva R2", " HD - 1 Deco Digital")</f>
        <v/>
      </c>
      <c r="Q153" s="74"/>
      <c r="R153" s="74"/>
      <c r="S153" s="74"/>
      <c r="T153" s="74"/>
      <c r="U153" s="72"/>
      <c r="V153" s="72"/>
      <c r="W153" s="72"/>
      <c r="X153" s="65"/>
    </row>
    <row r="154" spans="1:24" s="68" customFormat="1" x14ac:dyDescent="0.25">
      <c r="A154" s="69"/>
      <c r="B154" s="70"/>
      <c r="C154" s="71"/>
      <c r="D154" s="71"/>
      <c r="E154" s="71"/>
      <c r="F154" s="71"/>
      <c r="G154" s="72"/>
      <c r="H154" s="72"/>
      <c r="I154" s="72"/>
      <c r="J154" s="73"/>
      <c r="K154" s="72"/>
      <c r="L154" s="72"/>
      <c r="M154" s="72"/>
      <c r="N154" s="72"/>
      <c r="O154" s="72"/>
      <c r="P154" s="72" t="str">
        <f>SUBSTITUTE(DatosHogar[[#This Row],[Observación]], "008 - Campaña Escarlata Exclusiva R2", " HD - 1 Deco Digital")</f>
        <v/>
      </c>
      <c r="Q154" s="74"/>
      <c r="R154" s="74"/>
      <c r="S154" s="74"/>
      <c r="T154" s="74"/>
      <c r="U154" s="72"/>
      <c r="V154" s="72"/>
      <c r="W154" s="72"/>
      <c r="X154" s="65"/>
    </row>
    <row r="155" spans="1:24" s="68" customFormat="1" x14ac:dyDescent="0.25">
      <c r="A155" s="69"/>
      <c r="B155" s="70"/>
      <c r="C155" s="71"/>
      <c r="D155" s="71"/>
      <c r="E155" s="71"/>
      <c r="F155" s="71"/>
      <c r="G155" s="72"/>
      <c r="H155" s="72"/>
      <c r="I155" s="72"/>
      <c r="J155" s="73"/>
      <c r="K155" s="72"/>
      <c r="L155" s="72"/>
      <c r="M155" s="72"/>
      <c r="N155" s="72"/>
      <c r="O155" s="72"/>
      <c r="P155" s="72" t="str">
        <f>SUBSTITUTE(DatosHogar[[#This Row],[Observación]], "008 - Campaña Escarlata Exclusiva R2", " HD - 1 Deco Digital")</f>
        <v/>
      </c>
      <c r="Q155" s="74"/>
      <c r="R155" s="74"/>
      <c r="S155" s="74"/>
      <c r="T155" s="74"/>
      <c r="U155" s="72"/>
      <c r="V155" s="72"/>
      <c r="W155" s="72"/>
      <c r="X155" s="65"/>
    </row>
    <row r="156" spans="1:24" s="68" customFormat="1" x14ac:dyDescent="0.25">
      <c r="A156" s="69"/>
      <c r="B156" s="70"/>
      <c r="C156" s="71"/>
      <c r="D156" s="71"/>
      <c r="E156" s="71"/>
      <c r="F156" s="71"/>
      <c r="G156" s="72"/>
      <c r="H156" s="72"/>
      <c r="I156" s="72"/>
      <c r="J156" s="73"/>
      <c r="K156" s="72"/>
      <c r="L156" s="72"/>
      <c r="M156" s="72"/>
      <c r="N156" s="72"/>
      <c r="O156" s="72"/>
      <c r="P156" s="72" t="str">
        <f>SUBSTITUTE(DatosHogar[[#This Row],[Observación]], "008 - Campaña Escarlata Exclusiva R2", " HD - 1 Deco Digital")</f>
        <v/>
      </c>
      <c r="Q156" s="74"/>
      <c r="R156" s="74"/>
      <c r="S156" s="74"/>
      <c r="T156" s="74"/>
      <c r="U156" s="72"/>
      <c r="V156" s="72"/>
      <c r="W156" s="72"/>
      <c r="X156" s="65"/>
    </row>
    <row r="157" spans="1:24" s="68" customFormat="1" x14ac:dyDescent="0.25">
      <c r="A157" s="69"/>
      <c r="B157" s="70"/>
      <c r="C157" s="71"/>
      <c r="D157" s="71"/>
      <c r="E157" s="71"/>
      <c r="F157" s="71"/>
      <c r="G157" s="72"/>
      <c r="H157" s="72"/>
      <c r="I157" s="72"/>
      <c r="J157" s="73"/>
      <c r="K157" s="72"/>
      <c r="L157" s="72"/>
      <c r="M157" s="72"/>
      <c r="N157" s="72"/>
      <c r="O157" s="72"/>
      <c r="P157" s="72" t="str">
        <f>SUBSTITUTE(DatosHogar[[#This Row],[Observación]], "008 - Campaña Escarlata Exclusiva R2", " HD - 1 Deco Digital")</f>
        <v/>
      </c>
      <c r="Q157" s="74"/>
      <c r="R157" s="74"/>
      <c r="S157" s="74"/>
      <c r="T157" s="74"/>
      <c r="U157" s="72"/>
      <c r="V157" s="72"/>
      <c r="W157" s="72"/>
      <c r="X157" s="65"/>
    </row>
    <row r="158" spans="1:24" s="68" customFormat="1" x14ac:dyDescent="0.25">
      <c r="A158" s="69"/>
      <c r="B158" s="70"/>
      <c r="C158" s="71"/>
      <c r="D158" s="71"/>
      <c r="E158" s="71"/>
      <c r="F158" s="71"/>
      <c r="G158" s="72"/>
      <c r="H158" s="72"/>
      <c r="I158" s="72"/>
      <c r="J158" s="73"/>
      <c r="K158" s="72"/>
      <c r="L158" s="72"/>
      <c r="M158" s="72"/>
      <c r="N158" s="72"/>
      <c r="O158" s="72"/>
      <c r="P158" s="72" t="str">
        <f>SUBSTITUTE(DatosHogar[[#This Row],[Observación]], "008 - Campaña Escarlata Exclusiva R2", " HD - 1 Deco Digital")</f>
        <v/>
      </c>
      <c r="Q158" s="74"/>
      <c r="R158" s="74"/>
      <c r="S158" s="74"/>
      <c r="T158" s="74"/>
      <c r="U158" s="72"/>
      <c r="V158" s="72"/>
      <c r="W158" s="72"/>
      <c r="X158" s="65"/>
    </row>
    <row r="159" spans="1:24" s="68" customFormat="1" x14ac:dyDescent="0.25">
      <c r="A159" s="69"/>
      <c r="B159" s="70"/>
      <c r="C159" s="71"/>
      <c r="D159" s="71"/>
      <c r="E159" s="71"/>
      <c r="F159" s="71"/>
      <c r="G159" s="72"/>
      <c r="H159" s="72"/>
      <c r="I159" s="72"/>
      <c r="J159" s="73"/>
      <c r="K159" s="72"/>
      <c r="L159" s="72"/>
      <c r="M159" s="72"/>
      <c r="N159" s="72"/>
      <c r="O159" s="72"/>
      <c r="P159" s="72" t="str">
        <f>SUBSTITUTE(DatosHogar[[#This Row],[Observación]], "008 - Campaña Escarlata Exclusiva R2", " HD - 1 Deco Digital")</f>
        <v/>
      </c>
      <c r="Q159" s="74"/>
      <c r="R159" s="74"/>
      <c r="S159" s="74"/>
      <c r="T159" s="74"/>
      <c r="U159" s="72"/>
      <c r="V159" s="72"/>
      <c r="W159" s="72"/>
      <c r="X159" s="65"/>
    </row>
    <row r="160" spans="1:24" s="68" customFormat="1" x14ac:dyDescent="0.25">
      <c r="A160" s="69"/>
      <c r="B160" s="70"/>
      <c r="C160" s="71"/>
      <c r="D160" s="71"/>
      <c r="E160" s="71"/>
      <c r="F160" s="71"/>
      <c r="G160" s="72"/>
      <c r="H160" s="72"/>
      <c r="I160" s="72"/>
      <c r="J160" s="73"/>
      <c r="K160" s="72"/>
      <c r="L160" s="72"/>
      <c r="M160" s="72"/>
      <c r="N160" s="72"/>
      <c r="O160" s="72"/>
      <c r="P160" s="72" t="str">
        <f>SUBSTITUTE(DatosHogar[[#This Row],[Observación]], "008 - Campaña Escarlata Exclusiva R2", " HD - 1 Deco Digital")</f>
        <v/>
      </c>
      <c r="Q160" s="74"/>
      <c r="R160" s="74"/>
      <c r="S160" s="74"/>
      <c r="T160" s="74"/>
      <c r="U160" s="72"/>
      <c r="V160" s="72"/>
      <c r="W160" s="72"/>
      <c r="X160" s="65"/>
    </row>
    <row r="161" spans="1:24" s="68" customFormat="1" x14ac:dyDescent="0.25">
      <c r="A161" s="69"/>
      <c r="B161" s="70"/>
      <c r="C161" s="71"/>
      <c r="D161" s="71"/>
      <c r="E161" s="71"/>
      <c r="F161" s="71"/>
      <c r="G161" s="72"/>
      <c r="H161" s="72"/>
      <c r="I161" s="72"/>
      <c r="J161" s="73"/>
      <c r="K161" s="72"/>
      <c r="L161" s="72"/>
      <c r="M161" s="72"/>
      <c r="N161" s="72"/>
      <c r="O161" s="72"/>
      <c r="P161" s="72" t="str">
        <f>SUBSTITUTE(DatosHogar[[#This Row],[Observación]], "008 - Campaña Escarlata Exclusiva R2", " HD - 1 Deco Digital")</f>
        <v/>
      </c>
      <c r="Q161" s="74"/>
      <c r="R161" s="74"/>
      <c r="S161" s="74"/>
      <c r="T161" s="74"/>
      <c r="U161" s="72"/>
      <c r="V161" s="72"/>
      <c r="W161" s="72"/>
      <c r="X161" s="65"/>
    </row>
    <row r="162" spans="1:24" s="68" customFormat="1" x14ac:dyDescent="0.25">
      <c r="A162" s="69"/>
      <c r="B162" s="70"/>
      <c r="C162" s="71"/>
      <c r="D162" s="71"/>
      <c r="E162" s="71"/>
      <c r="F162" s="71"/>
      <c r="G162" s="72"/>
      <c r="H162" s="72"/>
      <c r="I162" s="72"/>
      <c r="J162" s="73"/>
      <c r="K162" s="72"/>
      <c r="L162" s="72"/>
      <c r="M162" s="72"/>
      <c r="N162" s="72"/>
      <c r="O162" s="72"/>
      <c r="P162" s="72" t="str">
        <f>SUBSTITUTE(DatosHogar[[#This Row],[Observación]], "008 - Campaña Escarlata Exclusiva R2", " HD - 1 Deco Digital")</f>
        <v/>
      </c>
      <c r="Q162" s="74"/>
      <c r="R162" s="74"/>
      <c r="S162" s="74"/>
      <c r="T162" s="74"/>
      <c r="U162" s="72"/>
      <c r="V162" s="72"/>
      <c r="W162" s="72"/>
      <c r="X162" s="65"/>
    </row>
    <row r="163" spans="1:24" s="68" customFormat="1" x14ac:dyDescent="0.25">
      <c r="A163" s="69"/>
      <c r="B163" s="70"/>
      <c r="C163" s="71"/>
      <c r="D163" s="71"/>
      <c r="E163" s="71"/>
      <c r="F163" s="71"/>
      <c r="G163" s="72"/>
      <c r="H163" s="72"/>
      <c r="I163" s="72"/>
      <c r="J163" s="73"/>
      <c r="K163" s="72"/>
      <c r="L163" s="72"/>
      <c r="M163" s="72"/>
      <c r="N163" s="72"/>
      <c r="O163" s="72"/>
      <c r="P163" s="72" t="str">
        <f>SUBSTITUTE(DatosHogar[[#This Row],[Observación]], "008 - Campaña Escarlata Exclusiva R2", " HD - 1 Deco Digital")</f>
        <v/>
      </c>
      <c r="Q163" s="74"/>
      <c r="R163" s="74"/>
      <c r="S163" s="74"/>
      <c r="T163" s="74"/>
      <c r="U163" s="72"/>
      <c r="V163" s="72"/>
      <c r="W163" s="72"/>
      <c r="X163" s="65"/>
    </row>
    <row r="164" spans="1:24" s="68" customFormat="1" x14ac:dyDescent="0.25">
      <c r="A164" s="69"/>
      <c r="B164" s="70"/>
      <c r="C164" s="71"/>
      <c r="D164" s="71"/>
      <c r="E164" s="71"/>
      <c r="F164" s="71"/>
      <c r="G164" s="72"/>
      <c r="H164" s="72"/>
      <c r="I164" s="72"/>
      <c r="J164" s="73"/>
      <c r="K164" s="72"/>
      <c r="L164" s="72"/>
      <c r="M164" s="72"/>
      <c r="N164" s="72"/>
      <c r="O164" s="72"/>
      <c r="P164" s="72" t="str">
        <f>SUBSTITUTE(DatosHogar[[#This Row],[Observación]], "008 - Campaña Escarlata Exclusiva R2", " HD - 1 Deco Digital")</f>
        <v/>
      </c>
      <c r="Q164" s="74"/>
      <c r="R164" s="74"/>
      <c r="S164" s="74"/>
      <c r="T164" s="74"/>
      <c r="U164" s="72"/>
      <c r="V164" s="72"/>
      <c r="W164" s="72"/>
      <c r="X164" s="65"/>
    </row>
    <row r="165" spans="1:24" s="68" customFormat="1" x14ac:dyDescent="0.25">
      <c r="A165" s="69"/>
      <c r="B165" s="70"/>
      <c r="C165" s="71"/>
      <c r="D165" s="71"/>
      <c r="E165" s="71"/>
      <c r="F165" s="71"/>
      <c r="G165" s="72"/>
      <c r="H165" s="72"/>
      <c r="I165" s="72"/>
      <c r="J165" s="73"/>
      <c r="K165" s="72"/>
      <c r="L165" s="72"/>
      <c r="M165" s="72"/>
      <c r="N165" s="72"/>
      <c r="O165" s="72"/>
      <c r="P165" s="72" t="str">
        <f>SUBSTITUTE(DatosHogar[[#This Row],[Observación]], "008 - Campaña Escarlata Exclusiva R2", " HD - 1 Deco Digital")</f>
        <v/>
      </c>
      <c r="Q165" s="74"/>
      <c r="R165" s="74"/>
      <c r="S165" s="74"/>
      <c r="T165" s="74"/>
      <c r="U165" s="72"/>
      <c r="V165" s="72"/>
      <c r="W165" s="72"/>
      <c r="X165" s="65"/>
    </row>
    <row r="166" spans="1:24" s="68" customFormat="1" x14ac:dyDescent="0.25">
      <c r="A166" s="69"/>
      <c r="B166" s="70"/>
      <c r="C166" s="71"/>
      <c r="D166" s="71"/>
      <c r="E166" s="71"/>
      <c r="F166" s="71"/>
      <c r="G166" s="72"/>
      <c r="H166" s="72"/>
      <c r="I166" s="72"/>
      <c r="J166" s="73"/>
      <c r="K166" s="72"/>
      <c r="L166" s="72"/>
      <c r="M166" s="72"/>
      <c r="N166" s="72"/>
      <c r="O166" s="72"/>
      <c r="P166" s="72" t="str">
        <f>SUBSTITUTE(DatosHogar[[#This Row],[Observación]], "008 - Campaña Escarlata Exclusiva R2", " HD - 1 Deco Digital")</f>
        <v/>
      </c>
      <c r="Q166" s="74"/>
      <c r="R166" s="74"/>
      <c r="S166" s="74"/>
      <c r="T166" s="74"/>
      <c r="U166" s="72"/>
      <c r="V166" s="72"/>
      <c r="W166" s="72"/>
      <c r="X166" s="65"/>
    </row>
    <row r="167" spans="1:24" s="68" customFormat="1" x14ac:dyDescent="0.25">
      <c r="A167" s="69"/>
      <c r="B167" s="70"/>
      <c r="C167" s="71"/>
      <c r="D167" s="71"/>
      <c r="E167" s="71"/>
      <c r="F167" s="71"/>
      <c r="G167" s="72"/>
      <c r="H167" s="72"/>
      <c r="I167" s="72"/>
      <c r="J167" s="73"/>
      <c r="K167" s="72"/>
      <c r="L167" s="72"/>
      <c r="M167" s="72"/>
      <c r="N167" s="72"/>
      <c r="O167" s="72"/>
      <c r="P167" s="72" t="str">
        <f>SUBSTITUTE(DatosHogar[[#This Row],[Observación]], "008 - Campaña Escarlata Exclusiva R2", " HD - 1 Deco Digital")</f>
        <v/>
      </c>
      <c r="Q167" s="74"/>
      <c r="R167" s="74"/>
      <c r="S167" s="74"/>
      <c r="T167" s="74"/>
      <c r="U167" s="72"/>
      <c r="V167" s="72"/>
      <c r="W167" s="72"/>
      <c r="X167" s="65"/>
    </row>
    <row r="168" spans="1:24" s="68" customFormat="1" x14ac:dyDescent="0.25">
      <c r="A168" s="69"/>
      <c r="B168" s="70"/>
      <c r="C168" s="71"/>
      <c r="D168" s="71"/>
      <c r="E168" s="71"/>
      <c r="F168" s="71"/>
      <c r="G168" s="72"/>
      <c r="H168" s="72"/>
      <c r="I168" s="72"/>
      <c r="J168" s="73"/>
      <c r="K168" s="72"/>
      <c r="L168" s="72"/>
      <c r="M168" s="72"/>
      <c r="N168" s="72"/>
      <c r="O168" s="72"/>
      <c r="P168" s="72" t="str">
        <f>SUBSTITUTE(DatosHogar[[#This Row],[Observación]], "008 - Campaña Escarlata Exclusiva R2", " HD - 1 Deco Digital")</f>
        <v/>
      </c>
      <c r="Q168" s="74"/>
      <c r="R168" s="74"/>
      <c r="S168" s="74"/>
      <c r="T168" s="74"/>
      <c r="U168" s="72"/>
      <c r="V168" s="72"/>
      <c r="W168" s="72"/>
      <c r="X168" s="65"/>
    </row>
    <row r="169" spans="1:24" s="68" customFormat="1" x14ac:dyDescent="0.25">
      <c r="A169" s="69"/>
      <c r="B169" s="70"/>
      <c r="C169" s="71"/>
      <c r="D169" s="71"/>
      <c r="E169" s="71"/>
      <c r="F169" s="71"/>
      <c r="G169" s="72"/>
      <c r="H169" s="72"/>
      <c r="I169" s="72"/>
      <c r="J169" s="73"/>
      <c r="K169" s="72"/>
      <c r="L169" s="72"/>
      <c r="M169" s="72"/>
      <c r="N169" s="72"/>
      <c r="O169" s="72"/>
      <c r="P169" s="72" t="str">
        <f>SUBSTITUTE(DatosHogar[[#This Row],[Observación]], "008 - Campaña Escarlata Exclusiva R2", " HD - 1 Deco Digital")</f>
        <v/>
      </c>
      <c r="Q169" s="74"/>
      <c r="R169" s="74"/>
      <c r="S169" s="74"/>
      <c r="T169" s="74"/>
      <c r="U169" s="72"/>
      <c r="V169" s="72"/>
      <c r="W169" s="72"/>
      <c r="X169" s="65"/>
    </row>
  </sheetData>
  <mergeCells count="1">
    <mergeCell ref="A1:X1"/>
  </mergeCells>
  <phoneticPr fontId="1" type="noConversion"/>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9">
        <x14:dataValidation type="list" allowBlank="1" showInputMessage="1" showErrorMessage="1" xr:uid="{7A812A30-0E3F-42A6-BBE6-2B783C166558}">
          <x14:formula1>
            <xm:f>FILTRO!$G$2:$G$3</xm:f>
          </x14:formula1>
          <xm:sqref>R3:R15 R20:R25 R43:R45 R75:R76 R79 R84 R101:R102 R112:R169</xm:sqref>
        </x14:dataValidation>
        <x14:dataValidation type="list" allowBlank="1" showInputMessage="1" showErrorMessage="1" xr:uid="{D8531DE2-3124-4E0B-A2CE-7EBFBB73BDF8}">
          <x14:formula1>
            <xm:f>FILTRO!$H$2:$H$6</xm:f>
          </x14:formula1>
          <xm:sqref>T6:T15 T48:T49 T3:T4 T18:T25 T43:T45 T65 T67 T84 T113:T118 T123:T169</xm:sqref>
        </x14:dataValidation>
        <x14:dataValidation type="list" allowBlank="1" showInputMessage="1" showErrorMessage="1" xr:uid="{0B53E7C5-D545-42AF-9AE9-D0F51ECCC8E3}">
          <x14:formula1>
            <xm:f>FILTRO!$L$2:$L$33</xm:f>
          </x14:formula1>
          <xm:sqref>D63:D67 D103:D169 D75:D100 D3:D42 D43:D54</xm:sqref>
        </x14:dataValidation>
        <x14:dataValidation type="list" allowBlank="1" showInputMessage="1" showErrorMessage="1" xr:uid="{11D36433-5AA4-4BD4-83C9-5A8C7DE3DD0A}">
          <x14:formula1>
            <xm:f>FILTRO!$M$2:$M$40</xm:f>
          </x14:formula1>
          <xm:sqref>E63:E71 E75:E169 E3:E42 E43:E54</xm:sqref>
        </x14:dataValidation>
        <x14:dataValidation type="list" allowBlank="1" showInputMessage="1" showErrorMessage="1" xr:uid="{59EFE197-1C97-484A-9482-2343036819EC}">
          <x14:formula1>
            <xm:f>FILTRO!$B$2:$B$4</xm:f>
          </x14:formula1>
          <xm:sqref>F63:F71 F75:F169 F3:F42 F43:F54</xm:sqref>
        </x14:dataValidation>
        <x14:dataValidation type="list" allowBlank="1" showInputMessage="1" showErrorMessage="1" xr:uid="{7221EBB1-16B4-447F-BE8A-CDDDDA7A3059}">
          <x14:formula1>
            <xm:f>FILTRO!$C$2</xm:f>
          </x14:formula1>
          <xm:sqref>G63:G71 G75:G169 G3:G42 G43:G54</xm:sqref>
        </x14:dataValidation>
        <x14:dataValidation type="list" allowBlank="1" showInputMessage="1" showErrorMessage="1" xr:uid="{F6E78B1A-9E9C-4346-A472-EE9ED3E6EF04}">
          <x14:formula1>
            <xm:f>FILTRO!$D$2:$D$7</xm:f>
          </x14:formula1>
          <xm:sqref>H63:H71 H75:H169 H3:H42 H43:H54</xm:sqref>
        </x14:dataValidation>
        <x14:dataValidation type="list" allowBlank="1" showInputMessage="1" showErrorMessage="1" xr:uid="{A18E11EE-65E5-4C15-9E46-D4D2530BE215}">
          <x14:formula1>
            <xm:f>FILTRO!$N$2:$N$5</xm:f>
          </x14:formula1>
          <xm:sqref>X63:X71 X75:X169 X3:X42 X43:X54</xm:sqref>
        </x14:dataValidation>
        <x14:dataValidation type="list" allowBlank="1" showInputMessage="1" showErrorMessage="1" xr:uid="{FA6CB96E-16D4-476B-B8B3-E9AFD20C6D83}">
          <x14:formula1>
            <xm:f>FILTRO!$A$2:$A$20</xm:f>
          </x14:formula1>
          <xm:sqref>C3:C42 C43:C169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B67E8-037C-497A-B2AB-FB1BB9263BB1}">
  <sheetPr codeName="Hoja5">
    <tabColor rgb="FFFF0000"/>
  </sheetPr>
  <dimension ref="A1:P51"/>
  <sheetViews>
    <sheetView zoomScaleNormal="100" workbookViewId="0">
      <pane xSplit="2" ySplit="2" topLeftCell="C29" activePane="bottomRight" state="frozen"/>
      <selection pane="topRight" activeCell="C1" sqref="C1"/>
      <selection pane="bottomLeft" activeCell="A3" sqref="A3"/>
      <selection pane="bottomRight" activeCell="E30" sqref="E30"/>
    </sheetView>
  </sheetViews>
  <sheetFormatPr baseColWidth="10" defaultColWidth="11.42578125" defaultRowHeight="15" x14ac:dyDescent="0.25"/>
  <cols>
    <col min="1" max="1" width="14" style="4" bestFit="1" customWidth="1"/>
    <col min="2" max="3" width="15.7109375" style="4" customWidth="1"/>
    <col min="4" max="4" width="14" style="4" bestFit="1" customWidth="1"/>
    <col min="5" max="5" width="17.85546875" style="28" customWidth="1"/>
    <col min="6" max="6" width="23.85546875" style="25" customWidth="1"/>
    <col min="7" max="7" width="14.28515625" style="25" customWidth="1"/>
    <col min="8" max="8" width="13" style="25" customWidth="1"/>
    <col min="9" max="9" width="17.5703125" style="25" customWidth="1"/>
    <col min="10" max="10" width="14.28515625" style="25" customWidth="1"/>
    <col min="11" max="11" width="11.42578125" style="25" customWidth="1"/>
    <col min="12" max="12" width="22.140625" style="25" customWidth="1"/>
    <col min="13" max="13" width="24.42578125" style="25" customWidth="1"/>
    <col min="14" max="14" width="16.28515625" style="25" customWidth="1"/>
    <col min="15" max="16" width="19" style="25" customWidth="1"/>
    <col min="17" max="16384" width="11.42578125" style="25"/>
  </cols>
  <sheetData>
    <row r="1" spans="1:16" ht="31.5" customHeight="1" x14ac:dyDescent="0.25">
      <c r="A1" s="81" t="s">
        <v>283</v>
      </c>
      <c r="B1" s="81"/>
      <c r="C1" s="81"/>
      <c r="D1" s="81"/>
      <c r="E1" s="81"/>
      <c r="F1" s="81"/>
      <c r="G1" s="81"/>
      <c r="H1" s="81"/>
      <c r="I1" s="81"/>
      <c r="J1" s="81"/>
      <c r="K1" s="81"/>
      <c r="L1" s="81"/>
      <c r="M1" s="81"/>
      <c r="N1" s="81"/>
      <c r="O1" s="81"/>
      <c r="P1" s="24"/>
    </row>
    <row r="2" spans="1:16" ht="72.75" customHeight="1" x14ac:dyDescent="0.25">
      <c r="A2" s="8" t="s">
        <v>84</v>
      </c>
      <c r="B2" s="22" t="s">
        <v>85</v>
      </c>
      <c r="C2" s="21" t="s">
        <v>284</v>
      </c>
      <c r="D2" s="39" t="s">
        <v>0</v>
      </c>
      <c r="E2" s="40" t="s">
        <v>466</v>
      </c>
      <c r="F2" s="9" t="s">
        <v>467</v>
      </c>
      <c r="G2" s="9" t="s">
        <v>285</v>
      </c>
      <c r="H2" s="9" t="s">
        <v>286</v>
      </c>
      <c r="I2" s="9" t="s">
        <v>287</v>
      </c>
      <c r="J2" s="9" t="s">
        <v>288</v>
      </c>
      <c r="K2" s="9" t="s">
        <v>289</v>
      </c>
      <c r="L2" s="9" t="s">
        <v>290</v>
      </c>
      <c r="M2" s="9" t="s">
        <v>291</v>
      </c>
      <c r="N2" s="9" t="s">
        <v>97</v>
      </c>
      <c r="O2" s="41" t="s">
        <v>468</v>
      </c>
      <c r="P2" s="42" t="s">
        <v>292</v>
      </c>
    </row>
    <row r="3" spans="1:16" ht="75" x14ac:dyDescent="0.25">
      <c r="A3" s="10">
        <v>46087</v>
      </c>
      <c r="B3" s="2" t="s">
        <v>293</v>
      </c>
      <c r="C3" s="14"/>
      <c r="D3" s="2" t="s">
        <v>30</v>
      </c>
      <c r="E3" s="3">
        <v>39900</v>
      </c>
      <c r="F3" s="2" t="s">
        <v>294</v>
      </c>
      <c r="G3" s="26">
        <v>12</v>
      </c>
      <c r="H3" s="26" t="s">
        <v>295</v>
      </c>
      <c r="I3" s="26" t="s">
        <v>295</v>
      </c>
      <c r="J3" s="26" t="s">
        <v>295</v>
      </c>
      <c r="K3" s="26" t="s">
        <v>295</v>
      </c>
      <c r="L3" s="2" t="s">
        <v>296</v>
      </c>
      <c r="M3" s="15" t="s">
        <v>297</v>
      </c>
      <c r="N3" s="26" t="s">
        <v>298</v>
      </c>
      <c r="O3" s="32" t="s">
        <v>298</v>
      </c>
      <c r="P3" s="30"/>
    </row>
    <row r="4" spans="1:16" ht="30" x14ac:dyDescent="0.25">
      <c r="A4" s="10">
        <v>46087</v>
      </c>
      <c r="B4" s="3" t="s">
        <v>293</v>
      </c>
      <c r="C4" s="20"/>
      <c r="D4" s="27" t="s">
        <v>30</v>
      </c>
      <c r="E4" s="20">
        <v>53900</v>
      </c>
      <c r="F4" s="15" t="s">
        <v>299</v>
      </c>
      <c r="G4" s="15">
        <v>2</v>
      </c>
      <c r="H4" s="15">
        <v>60</v>
      </c>
      <c r="I4" s="15" t="s">
        <v>298</v>
      </c>
      <c r="J4" s="15" t="s">
        <v>295</v>
      </c>
      <c r="K4" s="15" t="s">
        <v>295</v>
      </c>
      <c r="L4" s="2" t="s">
        <v>296</v>
      </c>
      <c r="M4" s="15" t="s">
        <v>297</v>
      </c>
      <c r="N4" s="15" t="s">
        <v>298</v>
      </c>
      <c r="O4" s="33" t="s">
        <v>298</v>
      </c>
      <c r="P4" s="30"/>
    </row>
    <row r="5" spans="1:16" ht="30" x14ac:dyDescent="0.25">
      <c r="A5" s="10">
        <v>46087</v>
      </c>
      <c r="B5" s="3" t="s">
        <v>293</v>
      </c>
      <c r="C5" s="20"/>
      <c r="D5" s="27" t="s">
        <v>30</v>
      </c>
      <c r="E5" s="20">
        <v>69900</v>
      </c>
      <c r="F5" s="15"/>
      <c r="G5" s="15"/>
      <c r="H5" s="15" t="s">
        <v>295</v>
      </c>
      <c r="I5" s="15" t="s">
        <v>295</v>
      </c>
      <c r="J5" s="15" t="s">
        <v>295</v>
      </c>
      <c r="K5" s="15" t="s">
        <v>295</v>
      </c>
      <c r="L5" s="2" t="s">
        <v>296</v>
      </c>
      <c r="M5" s="15" t="s">
        <v>297</v>
      </c>
      <c r="N5" s="15" t="s">
        <v>300</v>
      </c>
      <c r="O5" s="33" t="s">
        <v>298</v>
      </c>
      <c r="P5" s="30"/>
    </row>
    <row r="6" spans="1:16" ht="45" x14ac:dyDescent="0.25">
      <c r="A6" s="10">
        <v>46087</v>
      </c>
      <c r="B6" s="3" t="s">
        <v>293</v>
      </c>
      <c r="C6" s="20"/>
      <c r="D6" s="27" t="s">
        <v>22</v>
      </c>
      <c r="E6" s="20">
        <v>45990</v>
      </c>
      <c r="F6" s="15" t="s">
        <v>301</v>
      </c>
      <c r="G6" s="15">
        <v>1</v>
      </c>
      <c r="H6" s="15">
        <v>50</v>
      </c>
      <c r="I6" s="15" t="s">
        <v>298</v>
      </c>
      <c r="J6" s="15" t="s">
        <v>295</v>
      </c>
      <c r="K6" s="15" t="s">
        <v>295</v>
      </c>
      <c r="L6" s="15" t="s">
        <v>302</v>
      </c>
      <c r="M6" s="15" t="s">
        <v>303</v>
      </c>
      <c r="N6" s="15" t="s">
        <v>304</v>
      </c>
      <c r="O6" s="33" t="s">
        <v>298</v>
      </c>
      <c r="P6" s="30"/>
    </row>
    <row r="7" spans="1:16" ht="45" x14ac:dyDescent="0.25">
      <c r="A7" s="10">
        <v>46087</v>
      </c>
      <c r="B7" s="3" t="s">
        <v>293</v>
      </c>
      <c r="C7" s="20"/>
      <c r="D7" s="27" t="s">
        <v>22</v>
      </c>
      <c r="E7" s="20">
        <v>52990</v>
      </c>
      <c r="F7" s="15" t="s">
        <v>305</v>
      </c>
      <c r="G7" s="15">
        <v>1</v>
      </c>
      <c r="H7" s="15">
        <v>65</v>
      </c>
      <c r="I7" s="15" t="s">
        <v>298</v>
      </c>
      <c r="J7" s="15"/>
      <c r="K7" s="15"/>
      <c r="L7" s="15" t="s">
        <v>302</v>
      </c>
      <c r="M7" s="15" t="s">
        <v>303</v>
      </c>
      <c r="N7" s="15" t="s">
        <v>304</v>
      </c>
      <c r="O7" s="33" t="s">
        <v>298</v>
      </c>
      <c r="P7" s="30"/>
    </row>
    <row r="8" spans="1:16" ht="45" x14ac:dyDescent="0.25">
      <c r="A8" s="10">
        <v>46087</v>
      </c>
      <c r="B8" s="3" t="s">
        <v>293</v>
      </c>
      <c r="C8" s="20"/>
      <c r="D8" s="27" t="s">
        <v>22</v>
      </c>
      <c r="E8" s="20">
        <v>69990</v>
      </c>
      <c r="F8" s="15" t="s">
        <v>306</v>
      </c>
      <c r="G8" s="15">
        <v>1</v>
      </c>
      <c r="H8" s="15" t="s">
        <v>307</v>
      </c>
      <c r="I8" s="15" t="s">
        <v>307</v>
      </c>
      <c r="J8" s="15" t="s">
        <v>295</v>
      </c>
      <c r="K8" s="15" t="s">
        <v>295</v>
      </c>
      <c r="L8" s="15" t="s">
        <v>302</v>
      </c>
      <c r="M8" s="15"/>
      <c r="N8" s="15"/>
      <c r="O8" s="33" t="s">
        <v>298</v>
      </c>
      <c r="P8" s="30"/>
    </row>
    <row r="9" spans="1:16" ht="30" x14ac:dyDescent="0.25">
      <c r="A9" s="10">
        <v>46087</v>
      </c>
      <c r="B9" s="3" t="s">
        <v>293</v>
      </c>
      <c r="C9" s="20"/>
      <c r="D9" s="27" t="s">
        <v>30</v>
      </c>
      <c r="E9" s="20">
        <v>47900</v>
      </c>
      <c r="F9" s="15" t="s">
        <v>308</v>
      </c>
      <c r="G9" s="15">
        <v>3</v>
      </c>
      <c r="H9" s="15">
        <v>40</v>
      </c>
      <c r="I9" s="15" t="s">
        <v>298</v>
      </c>
      <c r="J9" s="26" t="s">
        <v>295</v>
      </c>
      <c r="K9" s="26" t="s">
        <v>295</v>
      </c>
      <c r="L9" s="2" t="s">
        <v>296</v>
      </c>
      <c r="M9" s="15" t="s">
        <v>309</v>
      </c>
      <c r="N9" s="15" t="s">
        <v>304</v>
      </c>
      <c r="O9" s="33" t="s">
        <v>298</v>
      </c>
      <c r="P9" s="30"/>
    </row>
    <row r="10" spans="1:16" ht="75" x14ac:dyDescent="0.25">
      <c r="A10" s="10">
        <v>46087</v>
      </c>
      <c r="B10" s="2" t="s">
        <v>310</v>
      </c>
      <c r="C10" s="15" t="s">
        <v>311</v>
      </c>
      <c r="D10" s="27" t="s">
        <v>14</v>
      </c>
      <c r="E10" s="20">
        <v>53900</v>
      </c>
      <c r="F10" s="15" t="s">
        <v>312</v>
      </c>
      <c r="G10" s="15" t="s">
        <v>313</v>
      </c>
      <c r="H10" s="15">
        <v>65</v>
      </c>
      <c r="I10" s="15">
        <v>10</v>
      </c>
      <c r="J10" s="15" t="s">
        <v>314</v>
      </c>
      <c r="K10" s="15" t="s">
        <v>314</v>
      </c>
      <c r="L10" s="15"/>
      <c r="M10" s="15" t="s">
        <v>315</v>
      </c>
      <c r="N10" s="15" t="s">
        <v>316</v>
      </c>
      <c r="O10" s="33"/>
      <c r="P10" s="30"/>
    </row>
    <row r="11" spans="1:16" x14ac:dyDescent="0.25">
      <c r="A11" s="10">
        <v>46087</v>
      </c>
      <c r="B11" s="3" t="s">
        <v>293</v>
      </c>
      <c r="C11" s="2" t="s">
        <v>317</v>
      </c>
      <c r="D11" s="27"/>
      <c r="E11" s="20">
        <v>44990</v>
      </c>
      <c r="F11" s="15"/>
      <c r="G11" s="15"/>
      <c r="H11" s="15">
        <v>60</v>
      </c>
      <c r="I11" s="15" t="s">
        <v>298</v>
      </c>
      <c r="J11" s="15" t="s">
        <v>314</v>
      </c>
      <c r="K11" s="15" t="s">
        <v>314</v>
      </c>
      <c r="L11" s="15"/>
      <c r="M11" s="15"/>
      <c r="N11" s="15"/>
      <c r="O11" s="33"/>
      <c r="P11" s="30" t="s">
        <v>317</v>
      </c>
    </row>
    <row r="12" spans="1:16" ht="30" x14ac:dyDescent="0.25">
      <c r="A12" s="10">
        <v>46087</v>
      </c>
      <c r="B12" s="3" t="s">
        <v>293</v>
      </c>
      <c r="C12" s="2" t="s">
        <v>317</v>
      </c>
      <c r="D12" s="27"/>
      <c r="E12" s="20">
        <v>54990</v>
      </c>
      <c r="F12" s="15" t="s">
        <v>318</v>
      </c>
      <c r="G12" s="15">
        <v>2</v>
      </c>
      <c r="H12" s="15" t="s">
        <v>295</v>
      </c>
      <c r="I12" s="15" t="s">
        <v>295</v>
      </c>
      <c r="J12" s="15" t="s">
        <v>314</v>
      </c>
      <c r="K12" s="15" t="s">
        <v>314</v>
      </c>
      <c r="L12" s="15"/>
      <c r="M12" s="15"/>
      <c r="N12" s="15" t="s">
        <v>319</v>
      </c>
      <c r="O12" s="33"/>
      <c r="P12" s="30" t="s">
        <v>317</v>
      </c>
    </row>
    <row r="13" spans="1:16" ht="30" x14ac:dyDescent="0.25">
      <c r="A13" s="10">
        <v>46087</v>
      </c>
      <c r="B13" s="3" t="s">
        <v>293</v>
      </c>
      <c r="C13" s="2" t="s">
        <v>317</v>
      </c>
      <c r="D13" s="27"/>
      <c r="E13" s="20">
        <v>64990</v>
      </c>
      <c r="F13" s="15" t="s">
        <v>318</v>
      </c>
      <c r="G13" s="15">
        <v>2</v>
      </c>
      <c r="H13" s="15" t="s">
        <v>295</v>
      </c>
      <c r="I13" s="15" t="s">
        <v>295</v>
      </c>
      <c r="J13" s="15" t="s">
        <v>314</v>
      </c>
      <c r="K13" s="15" t="s">
        <v>314</v>
      </c>
      <c r="L13" s="15"/>
      <c r="M13" s="15"/>
      <c r="N13" s="15" t="s">
        <v>320</v>
      </c>
      <c r="O13" s="33"/>
      <c r="P13" s="30" t="s">
        <v>317</v>
      </c>
    </row>
    <row r="14" spans="1:16" ht="75" x14ac:dyDescent="0.25">
      <c r="A14" s="10">
        <v>46090</v>
      </c>
      <c r="B14" s="2" t="s">
        <v>310</v>
      </c>
      <c r="C14" s="2" t="s">
        <v>321</v>
      </c>
      <c r="D14" s="27" t="s">
        <v>14</v>
      </c>
      <c r="E14" s="20">
        <v>56900</v>
      </c>
      <c r="F14" s="15" t="s">
        <v>312</v>
      </c>
      <c r="G14" s="15" t="s">
        <v>313</v>
      </c>
      <c r="H14" s="15">
        <v>75</v>
      </c>
      <c r="I14" s="15">
        <v>20</v>
      </c>
      <c r="J14" s="15" t="s">
        <v>314</v>
      </c>
      <c r="K14" s="15" t="s">
        <v>314</v>
      </c>
      <c r="L14" s="15" t="s">
        <v>322</v>
      </c>
      <c r="M14" s="15" t="s">
        <v>323</v>
      </c>
      <c r="N14" s="15" t="s">
        <v>316</v>
      </c>
      <c r="O14" s="33" t="s">
        <v>324</v>
      </c>
      <c r="P14" s="30"/>
    </row>
    <row r="15" spans="1:16" ht="105" x14ac:dyDescent="0.25">
      <c r="A15" s="10">
        <v>46090</v>
      </c>
      <c r="B15" s="2" t="s">
        <v>310</v>
      </c>
      <c r="C15" s="2" t="s">
        <v>325</v>
      </c>
      <c r="D15" s="27" t="s">
        <v>14</v>
      </c>
      <c r="E15" s="20">
        <v>65900</v>
      </c>
      <c r="F15" s="15" t="s">
        <v>312</v>
      </c>
      <c r="G15" s="15" t="s">
        <v>313</v>
      </c>
      <c r="H15" s="15">
        <v>100</v>
      </c>
      <c r="I15" s="15">
        <v>20</v>
      </c>
      <c r="J15" s="15" t="s">
        <v>314</v>
      </c>
      <c r="K15" s="15" t="s">
        <v>314</v>
      </c>
      <c r="L15" s="15" t="s">
        <v>322</v>
      </c>
      <c r="M15" s="15" t="s">
        <v>323</v>
      </c>
      <c r="N15" s="15" t="s">
        <v>326</v>
      </c>
      <c r="O15" s="33" t="s">
        <v>324</v>
      </c>
      <c r="P15" s="30"/>
    </row>
    <row r="16" spans="1:16" ht="105" x14ac:dyDescent="0.25">
      <c r="A16" s="10">
        <v>46090</v>
      </c>
      <c r="B16" s="2" t="s">
        <v>310</v>
      </c>
      <c r="C16" s="2" t="s">
        <v>327</v>
      </c>
      <c r="D16" s="27" t="s">
        <v>14</v>
      </c>
      <c r="E16" s="3">
        <v>75900</v>
      </c>
      <c r="F16" s="2" t="s">
        <v>312</v>
      </c>
      <c r="G16" s="2" t="s">
        <v>313</v>
      </c>
      <c r="H16" s="26">
        <v>130</v>
      </c>
      <c r="I16" s="26">
        <v>25</v>
      </c>
      <c r="J16" s="2" t="s">
        <v>314</v>
      </c>
      <c r="K16" s="2" t="s">
        <v>314</v>
      </c>
      <c r="L16" s="2" t="s">
        <v>322</v>
      </c>
      <c r="M16" s="2" t="s">
        <v>323</v>
      </c>
      <c r="N16" s="2" t="s">
        <v>326</v>
      </c>
      <c r="O16" s="34" t="s">
        <v>324</v>
      </c>
      <c r="P16" s="31"/>
    </row>
    <row r="17" spans="1:16" ht="105" x14ac:dyDescent="0.25">
      <c r="A17" s="10">
        <v>46090</v>
      </c>
      <c r="B17" s="2" t="s">
        <v>310</v>
      </c>
      <c r="C17" s="2" t="s">
        <v>328</v>
      </c>
      <c r="D17" s="27" t="s">
        <v>14</v>
      </c>
      <c r="E17" s="3">
        <v>99900</v>
      </c>
      <c r="F17" s="2" t="s">
        <v>312</v>
      </c>
      <c r="G17" s="2" t="s">
        <v>313</v>
      </c>
      <c r="H17" s="26" t="s">
        <v>329</v>
      </c>
      <c r="I17" s="26"/>
      <c r="J17" s="2" t="s">
        <v>314</v>
      </c>
      <c r="K17" s="2" t="s">
        <v>314</v>
      </c>
      <c r="L17" s="2" t="s">
        <v>322</v>
      </c>
      <c r="M17" s="2" t="s">
        <v>323</v>
      </c>
      <c r="N17" s="2" t="s">
        <v>326</v>
      </c>
      <c r="O17" s="34" t="s">
        <v>330</v>
      </c>
      <c r="P17" s="31"/>
    </row>
    <row r="18" spans="1:16" ht="105" x14ac:dyDescent="0.25">
      <c r="A18" s="10">
        <v>46090</v>
      </c>
      <c r="B18" s="2" t="s">
        <v>310</v>
      </c>
      <c r="C18" s="2" t="s">
        <v>331</v>
      </c>
      <c r="D18" s="27" t="s">
        <v>14</v>
      </c>
      <c r="E18" s="3">
        <v>62900</v>
      </c>
      <c r="F18" s="2" t="s">
        <v>312</v>
      </c>
      <c r="G18" s="2" t="s">
        <v>313</v>
      </c>
      <c r="H18" s="26">
        <v>60</v>
      </c>
      <c r="I18" s="26">
        <v>20</v>
      </c>
      <c r="J18" s="2" t="s">
        <v>314</v>
      </c>
      <c r="K18" s="2" t="s">
        <v>314</v>
      </c>
      <c r="L18" s="2" t="s">
        <v>322</v>
      </c>
      <c r="M18" s="2" t="s">
        <v>323</v>
      </c>
      <c r="N18" s="2" t="s">
        <v>332</v>
      </c>
      <c r="O18" s="34" t="s">
        <v>333</v>
      </c>
      <c r="P18" s="31"/>
    </row>
    <row r="19" spans="1:16" ht="105" x14ac:dyDescent="0.25">
      <c r="A19" s="10">
        <v>46090</v>
      </c>
      <c r="B19" s="2" t="s">
        <v>310</v>
      </c>
      <c r="C19" s="2" t="s">
        <v>331</v>
      </c>
      <c r="D19" s="27" t="s">
        <v>14</v>
      </c>
      <c r="E19" s="3">
        <v>83900</v>
      </c>
      <c r="F19" s="2" t="s">
        <v>312</v>
      </c>
      <c r="G19" s="2" t="s">
        <v>313</v>
      </c>
      <c r="H19" s="26">
        <v>140</v>
      </c>
      <c r="I19" s="26">
        <v>25</v>
      </c>
      <c r="J19" s="2" t="s">
        <v>314</v>
      </c>
      <c r="K19" s="2" t="s">
        <v>314</v>
      </c>
      <c r="L19" s="2" t="s">
        <v>322</v>
      </c>
      <c r="M19" s="2" t="s">
        <v>323</v>
      </c>
      <c r="N19" s="2" t="s">
        <v>332</v>
      </c>
      <c r="O19" s="34" t="s">
        <v>333</v>
      </c>
      <c r="P19" s="31"/>
    </row>
    <row r="20" spans="1:16" ht="105" x14ac:dyDescent="0.25">
      <c r="A20" s="10">
        <v>46090</v>
      </c>
      <c r="B20" s="2" t="s">
        <v>310</v>
      </c>
      <c r="C20" s="2" t="s">
        <v>331</v>
      </c>
      <c r="D20" s="27" t="s">
        <v>14</v>
      </c>
      <c r="E20" s="3">
        <v>104900</v>
      </c>
      <c r="F20" s="2" t="s">
        <v>312</v>
      </c>
      <c r="G20" s="2" t="s">
        <v>313</v>
      </c>
      <c r="H20" s="26">
        <v>180</v>
      </c>
      <c r="I20" s="26">
        <v>50</v>
      </c>
      <c r="J20" s="2" t="s">
        <v>314</v>
      </c>
      <c r="K20" s="2" t="s">
        <v>314</v>
      </c>
      <c r="L20" s="2" t="s">
        <v>322</v>
      </c>
      <c r="M20" s="2" t="s">
        <v>323</v>
      </c>
      <c r="N20" s="2" t="s">
        <v>332</v>
      </c>
      <c r="O20" s="34" t="s">
        <v>334</v>
      </c>
      <c r="P20" s="31"/>
    </row>
    <row r="21" spans="1:16" ht="60" x14ac:dyDescent="0.25">
      <c r="A21" s="10">
        <v>46090</v>
      </c>
      <c r="B21" s="2" t="s">
        <v>310</v>
      </c>
      <c r="C21" s="2" t="s">
        <v>331</v>
      </c>
      <c r="D21" s="27" t="s">
        <v>14</v>
      </c>
      <c r="E21" s="3">
        <v>128900</v>
      </c>
      <c r="F21" s="2" t="s">
        <v>312</v>
      </c>
      <c r="G21" s="2" t="s">
        <v>313</v>
      </c>
      <c r="H21" s="26" t="s">
        <v>329</v>
      </c>
      <c r="I21" s="26"/>
      <c r="J21" s="2" t="s">
        <v>314</v>
      </c>
      <c r="K21" s="2" t="s">
        <v>314</v>
      </c>
      <c r="L21" s="2" t="s">
        <v>322</v>
      </c>
      <c r="M21" s="2" t="s">
        <v>323</v>
      </c>
      <c r="N21" s="2" t="s">
        <v>335</v>
      </c>
      <c r="O21" s="34" t="s">
        <v>334</v>
      </c>
      <c r="P21" s="31"/>
    </row>
    <row r="22" spans="1:16" ht="60" x14ac:dyDescent="0.25">
      <c r="A22" s="10">
        <v>46090</v>
      </c>
      <c r="B22" s="2" t="s">
        <v>310</v>
      </c>
      <c r="C22" s="2" t="s">
        <v>336</v>
      </c>
      <c r="D22" s="27" t="s">
        <v>14</v>
      </c>
      <c r="E22" s="3">
        <v>93900</v>
      </c>
      <c r="F22" s="2" t="s">
        <v>312</v>
      </c>
      <c r="G22" s="2" t="s">
        <v>313</v>
      </c>
      <c r="H22" s="26">
        <v>60</v>
      </c>
      <c r="I22" s="26">
        <v>50</v>
      </c>
      <c r="J22" s="2" t="s">
        <v>314</v>
      </c>
      <c r="K22" s="2" t="s">
        <v>314</v>
      </c>
      <c r="L22" s="2" t="s">
        <v>322</v>
      </c>
      <c r="M22" s="2" t="s">
        <v>323</v>
      </c>
      <c r="N22" s="2" t="s">
        <v>335</v>
      </c>
      <c r="O22" s="34" t="s">
        <v>337</v>
      </c>
      <c r="P22" s="31"/>
    </row>
    <row r="23" spans="1:16" ht="60" x14ac:dyDescent="0.25">
      <c r="A23" s="10">
        <v>46090</v>
      </c>
      <c r="B23" s="2" t="s">
        <v>310</v>
      </c>
      <c r="C23" s="2" t="s">
        <v>338</v>
      </c>
      <c r="D23" s="27" t="s">
        <v>14</v>
      </c>
      <c r="E23" s="3">
        <v>60900</v>
      </c>
      <c r="F23" s="2" t="s">
        <v>312</v>
      </c>
      <c r="G23" s="2" t="s">
        <v>313</v>
      </c>
      <c r="H23" s="26">
        <v>55</v>
      </c>
      <c r="I23" s="26">
        <v>20</v>
      </c>
      <c r="J23" s="2" t="s">
        <v>314</v>
      </c>
      <c r="K23" s="2" t="s">
        <v>314</v>
      </c>
      <c r="L23" s="26"/>
      <c r="M23" s="2" t="s">
        <v>315</v>
      </c>
      <c r="N23" s="2" t="s">
        <v>335</v>
      </c>
      <c r="O23" s="32" t="s">
        <v>339</v>
      </c>
      <c r="P23" s="31"/>
    </row>
    <row r="24" spans="1:16" ht="105" x14ac:dyDescent="0.25">
      <c r="A24" s="10">
        <v>46090</v>
      </c>
      <c r="B24" s="2" t="s">
        <v>310</v>
      </c>
      <c r="C24" s="2" t="s">
        <v>331</v>
      </c>
      <c r="D24" s="27" t="s">
        <v>14</v>
      </c>
      <c r="E24" s="3">
        <v>75900</v>
      </c>
      <c r="F24" s="2" t="s">
        <v>312</v>
      </c>
      <c r="G24" s="2" t="s">
        <v>313</v>
      </c>
      <c r="H24" s="26">
        <v>100</v>
      </c>
      <c r="I24" s="26">
        <v>25</v>
      </c>
      <c r="J24" s="2" t="s">
        <v>314</v>
      </c>
      <c r="K24" s="2" t="s">
        <v>314</v>
      </c>
      <c r="L24" s="2" t="s">
        <v>322</v>
      </c>
      <c r="M24" s="2" t="s">
        <v>323</v>
      </c>
      <c r="N24" s="2" t="s">
        <v>340</v>
      </c>
      <c r="O24" s="34" t="s">
        <v>333</v>
      </c>
      <c r="P24" s="30" t="s">
        <v>341</v>
      </c>
    </row>
    <row r="25" spans="1:16" ht="105" x14ac:dyDescent="0.25">
      <c r="A25" s="10">
        <v>46090</v>
      </c>
      <c r="B25" s="2" t="s">
        <v>310</v>
      </c>
      <c r="C25" s="2" t="s">
        <v>331</v>
      </c>
      <c r="D25" s="27" t="s">
        <v>14</v>
      </c>
      <c r="E25" s="3">
        <v>86900</v>
      </c>
      <c r="F25" s="2" t="s">
        <v>312</v>
      </c>
      <c r="G25" s="2" t="s">
        <v>313</v>
      </c>
      <c r="H25" s="26">
        <v>105</v>
      </c>
      <c r="I25" s="26">
        <v>20</v>
      </c>
      <c r="J25" s="2" t="s">
        <v>314</v>
      </c>
      <c r="K25" s="2" t="s">
        <v>314</v>
      </c>
      <c r="L25" s="2" t="s">
        <v>322</v>
      </c>
      <c r="M25" s="2" t="s">
        <v>323</v>
      </c>
      <c r="N25" s="2" t="s">
        <v>340</v>
      </c>
      <c r="O25" s="34" t="s">
        <v>334</v>
      </c>
      <c r="P25" s="30" t="s">
        <v>341</v>
      </c>
    </row>
    <row r="26" spans="1:16" ht="30" x14ac:dyDescent="0.25">
      <c r="A26" s="10">
        <v>46090</v>
      </c>
      <c r="B26" s="2" t="s">
        <v>310</v>
      </c>
      <c r="C26" s="2" t="s">
        <v>342</v>
      </c>
      <c r="D26" s="27" t="s">
        <v>14</v>
      </c>
      <c r="E26" s="3">
        <v>53900</v>
      </c>
      <c r="F26" s="26"/>
      <c r="G26" s="26"/>
      <c r="H26" s="26">
        <v>65</v>
      </c>
      <c r="I26" s="26">
        <v>20</v>
      </c>
      <c r="J26" s="2" t="s">
        <v>314</v>
      </c>
      <c r="K26" s="2" t="s">
        <v>314</v>
      </c>
      <c r="L26" s="26"/>
      <c r="M26" s="2" t="s">
        <v>315</v>
      </c>
      <c r="N26" s="2" t="s">
        <v>343</v>
      </c>
      <c r="O26" s="32"/>
      <c r="P26" s="30" t="s">
        <v>344</v>
      </c>
    </row>
    <row r="27" spans="1:16" ht="60" x14ac:dyDescent="0.25">
      <c r="A27" s="10">
        <v>46090</v>
      </c>
      <c r="B27" s="2" t="s">
        <v>310</v>
      </c>
      <c r="C27" s="2" t="s">
        <v>345</v>
      </c>
      <c r="D27" s="27" t="s">
        <v>14</v>
      </c>
      <c r="E27" s="3">
        <v>53900</v>
      </c>
      <c r="F27" s="26"/>
      <c r="G27" s="26"/>
      <c r="H27" s="26">
        <v>65</v>
      </c>
      <c r="I27" s="26">
        <v>20</v>
      </c>
      <c r="J27" s="2" t="s">
        <v>314</v>
      </c>
      <c r="K27" s="2" t="s">
        <v>314</v>
      </c>
      <c r="L27" s="26"/>
      <c r="M27" s="2" t="s">
        <v>315</v>
      </c>
      <c r="N27" s="2" t="s">
        <v>335</v>
      </c>
      <c r="O27" s="32"/>
      <c r="P27" s="30" t="s">
        <v>346</v>
      </c>
    </row>
    <row r="28" spans="1:16" ht="60" x14ac:dyDescent="0.25">
      <c r="A28" s="10">
        <v>46090</v>
      </c>
      <c r="B28" s="2" t="s">
        <v>310</v>
      </c>
      <c r="C28" s="2" t="s">
        <v>347</v>
      </c>
      <c r="D28" s="27" t="s">
        <v>14</v>
      </c>
      <c r="E28" s="3">
        <v>53900</v>
      </c>
      <c r="F28" s="26"/>
      <c r="G28" s="26"/>
      <c r="H28" s="26">
        <v>65</v>
      </c>
      <c r="I28" s="26">
        <v>20</v>
      </c>
      <c r="J28" s="2" t="s">
        <v>314</v>
      </c>
      <c r="K28" s="2" t="s">
        <v>314</v>
      </c>
      <c r="L28" s="26"/>
      <c r="M28" s="2" t="s">
        <v>348</v>
      </c>
      <c r="N28" s="2" t="s">
        <v>343</v>
      </c>
      <c r="O28" s="32"/>
      <c r="P28" s="30" t="s">
        <v>349</v>
      </c>
    </row>
    <row r="29" spans="1:16" ht="60" x14ac:dyDescent="0.25">
      <c r="A29" s="10">
        <v>46090</v>
      </c>
      <c r="B29" s="2" t="s">
        <v>310</v>
      </c>
      <c r="C29" s="2" t="s">
        <v>350</v>
      </c>
      <c r="D29" s="27" t="s">
        <v>14</v>
      </c>
      <c r="E29" s="3">
        <v>44900</v>
      </c>
      <c r="F29" s="26"/>
      <c r="G29" s="26"/>
      <c r="H29" s="26">
        <v>45</v>
      </c>
      <c r="I29" s="26">
        <v>10</v>
      </c>
      <c r="J29" s="2" t="s">
        <v>314</v>
      </c>
      <c r="K29" s="2" t="s">
        <v>314</v>
      </c>
      <c r="L29" s="26"/>
      <c r="M29" s="2" t="s">
        <v>315</v>
      </c>
      <c r="N29" s="2" t="s">
        <v>335</v>
      </c>
      <c r="O29" s="32"/>
      <c r="P29" s="31" t="s">
        <v>351</v>
      </c>
    </row>
    <row r="30" spans="1:16" ht="60" x14ac:dyDescent="0.25">
      <c r="A30" s="10">
        <v>46090</v>
      </c>
      <c r="B30" s="2" t="s">
        <v>310</v>
      </c>
      <c r="C30" s="2" t="s">
        <v>352</v>
      </c>
      <c r="D30" s="27" t="s">
        <v>14</v>
      </c>
      <c r="E30" s="3">
        <v>38900</v>
      </c>
      <c r="F30" s="26" t="s">
        <v>353</v>
      </c>
      <c r="G30" s="26" t="s">
        <v>354</v>
      </c>
      <c r="H30" s="26">
        <v>47</v>
      </c>
      <c r="I30" s="26">
        <v>5</v>
      </c>
      <c r="J30" s="2" t="s">
        <v>314</v>
      </c>
      <c r="K30" s="2" t="s">
        <v>314</v>
      </c>
      <c r="L30" s="26"/>
      <c r="M30" s="2" t="s">
        <v>315</v>
      </c>
      <c r="N30" s="2" t="s">
        <v>335</v>
      </c>
      <c r="O30" s="32"/>
      <c r="P30" s="30" t="s">
        <v>355</v>
      </c>
    </row>
    <row r="31" spans="1:16" x14ac:dyDescent="0.25">
      <c r="A31" s="10"/>
      <c r="B31" s="2"/>
      <c r="C31" s="2"/>
      <c r="D31" s="2"/>
      <c r="E31" s="3"/>
      <c r="F31" s="26"/>
      <c r="G31" s="26"/>
      <c r="H31" s="26"/>
      <c r="I31" s="26"/>
      <c r="J31" s="26"/>
      <c r="K31" s="26"/>
      <c r="L31" s="26"/>
      <c r="M31" s="26"/>
      <c r="N31" s="26"/>
      <c r="O31" s="32"/>
      <c r="P31" s="31"/>
    </row>
    <row r="32" spans="1:16" x14ac:dyDescent="0.25">
      <c r="A32" s="10"/>
      <c r="B32" s="2"/>
      <c r="C32" s="2"/>
      <c r="D32" s="2"/>
      <c r="E32" s="3"/>
      <c r="F32" s="26"/>
      <c r="G32" s="26"/>
      <c r="H32" s="26"/>
      <c r="I32" s="26"/>
      <c r="J32" s="26"/>
      <c r="K32" s="26"/>
      <c r="L32" s="26"/>
      <c r="M32" s="26"/>
      <c r="N32" s="26"/>
      <c r="O32" s="32"/>
      <c r="P32" s="31"/>
    </row>
    <row r="33" spans="1:16" x14ac:dyDescent="0.25">
      <c r="A33" s="10"/>
      <c r="B33" s="2"/>
      <c r="C33" s="2"/>
      <c r="D33" s="2"/>
      <c r="E33" s="3"/>
      <c r="F33" s="26"/>
      <c r="G33" s="26"/>
      <c r="H33" s="26"/>
      <c r="I33" s="26"/>
      <c r="J33" s="26"/>
      <c r="K33" s="26"/>
      <c r="L33" s="26"/>
      <c r="M33" s="26"/>
      <c r="N33" s="26"/>
      <c r="O33" s="32"/>
      <c r="P33" s="31"/>
    </row>
    <row r="34" spans="1:16" x14ac:dyDescent="0.25">
      <c r="A34" s="10"/>
      <c r="B34" s="2"/>
      <c r="C34" s="2"/>
      <c r="D34" s="2"/>
      <c r="E34" s="3"/>
      <c r="F34" s="26"/>
      <c r="G34" s="26"/>
      <c r="H34" s="26"/>
      <c r="I34" s="26"/>
      <c r="J34" s="26"/>
      <c r="K34" s="26"/>
      <c r="L34" s="26"/>
      <c r="M34" s="26"/>
      <c r="N34" s="26"/>
      <c r="O34" s="32"/>
      <c r="P34" s="31"/>
    </row>
    <row r="35" spans="1:16" x14ac:dyDescent="0.25">
      <c r="A35" s="10"/>
      <c r="B35" s="2"/>
      <c r="C35" s="2"/>
      <c r="D35" s="2"/>
      <c r="E35" s="3"/>
      <c r="F35" s="26"/>
      <c r="G35" s="26"/>
      <c r="H35" s="26"/>
      <c r="I35" s="26"/>
      <c r="J35" s="26"/>
      <c r="K35" s="26"/>
      <c r="L35" s="26"/>
      <c r="M35" s="26"/>
      <c r="N35" s="26"/>
      <c r="O35" s="32"/>
      <c r="P35" s="31"/>
    </row>
    <row r="36" spans="1:16" x14ac:dyDescent="0.25">
      <c r="A36" s="10"/>
      <c r="B36" s="2"/>
      <c r="C36" s="2"/>
      <c r="D36" s="2"/>
      <c r="E36" s="3"/>
      <c r="F36" s="26"/>
      <c r="G36" s="26"/>
      <c r="H36" s="26"/>
      <c r="I36" s="26"/>
      <c r="J36" s="26"/>
      <c r="K36" s="26"/>
      <c r="L36" s="26"/>
      <c r="M36" s="26"/>
      <c r="N36" s="26"/>
      <c r="O36" s="32"/>
      <c r="P36" s="31"/>
    </row>
    <row r="37" spans="1:16" x14ac:dyDescent="0.25">
      <c r="A37" s="10"/>
      <c r="B37" s="2"/>
      <c r="C37" s="2"/>
      <c r="D37" s="2"/>
      <c r="E37" s="3"/>
      <c r="F37" s="26"/>
      <c r="G37" s="26"/>
      <c r="H37" s="26"/>
      <c r="I37" s="26"/>
      <c r="J37" s="26"/>
      <c r="K37" s="26"/>
      <c r="L37" s="26"/>
      <c r="M37" s="26"/>
      <c r="N37" s="26"/>
      <c r="O37" s="32"/>
      <c r="P37" s="31"/>
    </row>
    <row r="38" spans="1:16" x14ac:dyDescent="0.25">
      <c r="A38" s="10"/>
      <c r="B38" s="2"/>
      <c r="C38" s="2"/>
      <c r="D38" s="2"/>
      <c r="E38" s="3"/>
      <c r="F38" s="26"/>
      <c r="G38" s="26"/>
      <c r="H38" s="26"/>
      <c r="I38" s="26"/>
      <c r="J38" s="26"/>
      <c r="K38" s="26"/>
      <c r="L38" s="26"/>
      <c r="M38" s="26"/>
      <c r="N38" s="26"/>
      <c r="O38" s="32"/>
      <c r="P38" s="31"/>
    </row>
    <row r="39" spans="1:16" x14ac:dyDescent="0.25">
      <c r="A39" s="10"/>
      <c r="B39" s="2"/>
      <c r="C39" s="2"/>
      <c r="D39" s="2"/>
      <c r="E39" s="3"/>
      <c r="F39" s="26"/>
      <c r="G39" s="26"/>
      <c r="H39" s="26"/>
      <c r="I39" s="26"/>
      <c r="J39" s="26"/>
      <c r="K39" s="26"/>
      <c r="L39" s="26"/>
      <c r="M39" s="26"/>
      <c r="N39" s="26"/>
      <c r="O39" s="32"/>
      <c r="P39" s="31"/>
    </row>
    <row r="40" spans="1:16" x14ac:dyDescent="0.25">
      <c r="A40" s="10"/>
      <c r="B40" s="2"/>
      <c r="C40" s="2"/>
      <c r="D40" s="2"/>
      <c r="E40" s="3"/>
      <c r="F40" s="26"/>
      <c r="G40" s="26"/>
      <c r="H40" s="26"/>
      <c r="I40" s="26"/>
      <c r="J40" s="26"/>
      <c r="K40" s="26"/>
      <c r="L40" s="26"/>
      <c r="M40" s="26"/>
      <c r="N40" s="26"/>
      <c r="O40" s="32"/>
      <c r="P40" s="31"/>
    </row>
    <row r="41" spans="1:16" x14ac:dyDescent="0.25">
      <c r="A41" s="10"/>
      <c r="B41" s="2"/>
      <c r="C41" s="2"/>
      <c r="D41" s="2"/>
      <c r="E41" s="3"/>
      <c r="F41" s="26"/>
      <c r="G41" s="26"/>
      <c r="H41" s="26"/>
      <c r="I41" s="26"/>
      <c r="J41" s="26"/>
      <c r="K41" s="26"/>
      <c r="L41" s="26"/>
      <c r="M41" s="26"/>
      <c r="N41" s="26"/>
      <c r="O41" s="32"/>
      <c r="P41" s="31"/>
    </row>
    <row r="42" spans="1:16" x14ac:dyDescent="0.25">
      <c r="A42" s="10"/>
      <c r="B42" s="2"/>
      <c r="C42" s="2"/>
      <c r="D42" s="2"/>
      <c r="E42" s="3"/>
      <c r="F42" s="26"/>
      <c r="G42" s="26"/>
      <c r="H42" s="26"/>
      <c r="I42" s="26"/>
      <c r="J42" s="26"/>
      <c r="K42" s="26"/>
      <c r="L42" s="26"/>
      <c r="M42" s="26"/>
      <c r="N42" s="26"/>
      <c r="O42" s="32"/>
      <c r="P42" s="31"/>
    </row>
    <row r="43" spans="1:16" x14ac:dyDescent="0.25">
      <c r="A43" s="10"/>
      <c r="B43" s="2"/>
      <c r="C43" s="2"/>
      <c r="D43" s="2"/>
      <c r="E43" s="3"/>
      <c r="F43" s="26"/>
      <c r="G43" s="26"/>
      <c r="H43" s="26"/>
      <c r="I43" s="26"/>
      <c r="J43" s="26"/>
      <c r="K43" s="26"/>
      <c r="L43" s="26"/>
      <c r="M43" s="26"/>
      <c r="N43" s="26"/>
      <c r="O43" s="32"/>
      <c r="P43" s="31"/>
    </row>
    <row r="44" spans="1:16" x14ac:dyDescent="0.25">
      <c r="A44" s="10"/>
      <c r="B44" s="2"/>
      <c r="C44" s="2"/>
      <c r="D44" s="2"/>
      <c r="E44" s="3"/>
      <c r="F44" s="26"/>
      <c r="G44" s="26"/>
      <c r="H44" s="26"/>
      <c r="I44" s="26"/>
      <c r="J44" s="26"/>
      <c r="K44" s="26"/>
      <c r="L44" s="26"/>
      <c r="M44" s="26"/>
      <c r="N44" s="26"/>
      <c r="O44" s="32"/>
      <c r="P44" s="31"/>
    </row>
    <row r="45" spans="1:16" x14ac:dyDescent="0.25">
      <c r="A45" s="10"/>
      <c r="B45" s="2"/>
      <c r="C45" s="2"/>
      <c r="D45" s="2"/>
      <c r="E45" s="3"/>
      <c r="F45" s="26"/>
      <c r="G45" s="26"/>
      <c r="H45" s="26"/>
      <c r="I45" s="26"/>
      <c r="J45" s="26"/>
      <c r="K45" s="26"/>
      <c r="L45" s="26"/>
      <c r="M45" s="26"/>
      <c r="N45" s="26"/>
      <c r="O45" s="32"/>
      <c r="P45" s="31"/>
    </row>
    <row r="46" spans="1:16" x14ac:dyDescent="0.25">
      <c r="A46" s="10"/>
      <c r="B46" s="2"/>
      <c r="C46" s="2"/>
      <c r="D46" s="2"/>
      <c r="E46" s="3"/>
      <c r="F46" s="26"/>
      <c r="G46" s="26"/>
      <c r="H46" s="26"/>
      <c r="I46" s="26"/>
      <c r="J46" s="26"/>
      <c r="K46" s="26"/>
      <c r="L46" s="26"/>
      <c r="M46" s="26"/>
      <c r="N46" s="26"/>
      <c r="O46" s="32"/>
      <c r="P46" s="31"/>
    </row>
    <row r="47" spans="1:16" x14ac:dyDescent="0.25">
      <c r="A47" s="10"/>
      <c r="B47" s="2"/>
      <c r="C47" s="2"/>
      <c r="D47" s="2"/>
      <c r="E47" s="3"/>
      <c r="F47" s="26"/>
      <c r="G47" s="26"/>
      <c r="H47" s="26"/>
      <c r="I47" s="26"/>
      <c r="J47" s="26"/>
      <c r="K47" s="26"/>
      <c r="L47" s="26"/>
      <c r="M47" s="26"/>
      <c r="N47" s="26"/>
      <c r="O47" s="32"/>
      <c r="P47" s="31"/>
    </row>
    <row r="48" spans="1:16" x14ac:dyDescent="0.25">
      <c r="A48" s="10"/>
      <c r="B48" s="2"/>
      <c r="C48" s="2"/>
      <c r="D48" s="2"/>
      <c r="E48" s="3"/>
      <c r="F48" s="26"/>
      <c r="G48" s="26"/>
      <c r="H48" s="26"/>
      <c r="I48" s="26"/>
      <c r="J48" s="26"/>
      <c r="K48" s="26"/>
      <c r="L48" s="26"/>
      <c r="M48" s="26"/>
      <c r="N48" s="26"/>
      <c r="O48" s="32"/>
      <c r="P48" s="31"/>
    </row>
    <row r="49" spans="1:16" x14ac:dyDescent="0.25">
      <c r="A49" s="10"/>
      <c r="B49" s="2"/>
      <c r="C49" s="2"/>
      <c r="D49" s="2"/>
      <c r="E49" s="3"/>
      <c r="F49" s="26"/>
      <c r="G49" s="26"/>
      <c r="H49" s="26"/>
      <c r="I49" s="26"/>
      <c r="J49" s="26"/>
      <c r="K49" s="26"/>
      <c r="L49" s="26"/>
      <c r="M49" s="26"/>
      <c r="N49" s="26"/>
      <c r="O49" s="32"/>
      <c r="P49" s="31"/>
    </row>
    <row r="50" spans="1:16" x14ac:dyDescent="0.25">
      <c r="A50" s="10"/>
      <c r="B50" s="2"/>
      <c r="C50" s="2"/>
      <c r="D50" s="2"/>
      <c r="E50" s="3"/>
      <c r="F50" s="26"/>
      <c r="G50" s="26"/>
      <c r="H50" s="26"/>
      <c r="I50" s="26"/>
      <c r="J50" s="26"/>
      <c r="K50" s="26"/>
      <c r="L50" s="26"/>
      <c r="M50" s="26"/>
      <c r="N50" s="26"/>
      <c r="O50" s="32"/>
      <c r="P50" s="31"/>
    </row>
    <row r="51" spans="1:16" x14ac:dyDescent="0.25">
      <c r="A51" s="10"/>
      <c r="B51" s="2"/>
      <c r="C51" s="2"/>
      <c r="D51" s="2"/>
      <c r="E51" s="3"/>
      <c r="F51" s="26"/>
      <c r="G51" s="26"/>
      <c r="H51" s="26"/>
      <c r="I51" s="26"/>
      <c r="J51" s="26"/>
      <c r="K51" s="26"/>
      <c r="L51" s="26"/>
      <c r="M51" s="26"/>
      <c r="N51" s="26"/>
      <c r="O51" s="32"/>
      <c r="P51" s="31"/>
    </row>
  </sheetData>
  <mergeCells count="1">
    <mergeCell ref="A1:O1"/>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439A1DA5-FD7E-4000-88AC-845377776A04}">
          <x14:formula1>
            <xm:f>FILTRO!$A$2:$A$4</xm:f>
          </x14:formula1>
          <xm:sqref>D3:D51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2C3E6-4036-4C5F-91F5-D4CBB5580899}">
  <sheetPr>
    <tabColor theme="8" tint="0.39997558519241921"/>
  </sheetPr>
  <dimension ref="A1:N100"/>
  <sheetViews>
    <sheetView tabSelected="1" zoomScaleNormal="100" workbookViewId="0">
      <pane ySplit="2" topLeftCell="A66" activePane="bottomLeft" state="frozen"/>
      <selection activeCell="A3" sqref="A3"/>
      <selection pane="bottomLeft" activeCell="E68" sqref="E68"/>
    </sheetView>
  </sheetViews>
  <sheetFormatPr baseColWidth="10" defaultColWidth="11.42578125" defaultRowHeight="15" x14ac:dyDescent="0.25"/>
  <cols>
    <col min="1" max="1" width="14" style="4" bestFit="1" customWidth="1"/>
    <col min="2" max="2" width="22.85546875" style="28" bestFit="1" customWidth="1"/>
    <col min="3" max="3" width="9.5703125" style="25" customWidth="1"/>
    <col min="4" max="5" width="16" style="25" customWidth="1"/>
    <col min="6" max="6" width="13.28515625" style="25" customWidth="1"/>
    <col min="7" max="7" width="11" style="25" customWidth="1"/>
    <col min="8" max="8" width="24.85546875" style="25" customWidth="1"/>
    <col min="9" max="9" width="14.7109375" style="25" customWidth="1"/>
    <col min="10" max="10" width="20.85546875" style="25" bestFit="1" customWidth="1"/>
    <col min="11" max="11" width="35.42578125" style="25" bestFit="1" customWidth="1"/>
    <col min="12" max="13" width="31.5703125" style="25" customWidth="1"/>
    <col min="14" max="16384" width="11.42578125" style="25"/>
  </cols>
  <sheetData>
    <row r="1" spans="1:14" ht="31.5" customHeight="1" x14ac:dyDescent="0.25">
      <c r="A1" s="79" t="s">
        <v>356</v>
      </c>
      <c r="B1" s="79"/>
      <c r="C1" s="79"/>
      <c r="D1" s="79"/>
      <c r="E1" s="79"/>
      <c r="F1" s="79"/>
      <c r="G1" s="79"/>
      <c r="H1" s="79"/>
      <c r="I1" s="79"/>
      <c r="J1" s="79"/>
      <c r="K1" s="79"/>
      <c r="L1" s="79"/>
      <c r="M1" s="79"/>
    </row>
    <row r="2" spans="1:14" s="35" customFormat="1" ht="72.75" customHeight="1" x14ac:dyDescent="0.25">
      <c r="A2" s="8" t="s">
        <v>84</v>
      </c>
      <c r="B2" s="8" t="s">
        <v>85</v>
      </c>
      <c r="C2" s="11" t="s">
        <v>0</v>
      </c>
      <c r="D2" s="11" t="s">
        <v>357</v>
      </c>
      <c r="E2" s="11" t="s">
        <v>358</v>
      </c>
      <c r="F2" s="13" t="s">
        <v>4</v>
      </c>
      <c r="G2" s="11" t="s">
        <v>359</v>
      </c>
      <c r="H2" s="11" t="s">
        <v>469</v>
      </c>
      <c r="I2" s="11" t="s">
        <v>286</v>
      </c>
      <c r="J2" s="11" t="s">
        <v>470</v>
      </c>
      <c r="K2" s="11" t="s">
        <v>291</v>
      </c>
      <c r="L2" s="9" t="s">
        <v>471</v>
      </c>
      <c r="M2" s="9" t="s">
        <v>472</v>
      </c>
      <c r="N2" s="9" t="s">
        <v>292</v>
      </c>
    </row>
    <row r="3" spans="1:14" x14ac:dyDescent="0.25">
      <c r="A3" s="10">
        <v>46088</v>
      </c>
      <c r="B3" s="2" t="s">
        <v>360</v>
      </c>
      <c r="C3" s="2" t="s">
        <v>14</v>
      </c>
      <c r="D3" s="36">
        <v>1000</v>
      </c>
      <c r="E3" s="36">
        <v>2500</v>
      </c>
      <c r="F3" s="2" t="s">
        <v>19</v>
      </c>
      <c r="G3" s="2">
        <v>1</v>
      </c>
      <c r="H3" s="2"/>
      <c r="I3" s="2" t="s">
        <v>361</v>
      </c>
      <c r="J3" s="2" t="s">
        <v>362</v>
      </c>
      <c r="K3" s="26" t="s">
        <v>363</v>
      </c>
      <c r="L3" s="14" t="s">
        <v>362</v>
      </c>
      <c r="M3" s="14" t="s">
        <v>362</v>
      </c>
      <c r="N3" s="14"/>
    </row>
    <row r="4" spans="1:14" ht="30" x14ac:dyDescent="0.25">
      <c r="A4" s="10">
        <v>46088</v>
      </c>
      <c r="B4" s="2" t="s">
        <v>360</v>
      </c>
      <c r="C4" s="2" t="s">
        <v>14</v>
      </c>
      <c r="D4" s="36">
        <v>1000</v>
      </c>
      <c r="E4" s="36">
        <v>4500</v>
      </c>
      <c r="F4" s="2" t="s">
        <v>19</v>
      </c>
      <c r="G4" s="2">
        <v>7</v>
      </c>
      <c r="H4" s="2" t="s">
        <v>364</v>
      </c>
      <c r="I4" s="2" t="s">
        <v>365</v>
      </c>
      <c r="J4" s="2" t="s">
        <v>362</v>
      </c>
      <c r="K4" s="2" t="s">
        <v>366</v>
      </c>
      <c r="L4" s="14" t="s">
        <v>362</v>
      </c>
      <c r="M4" s="14" t="s">
        <v>362</v>
      </c>
      <c r="N4" s="2"/>
    </row>
    <row r="5" spans="1:14" ht="30" x14ac:dyDescent="0.25">
      <c r="A5" s="10">
        <v>46088</v>
      </c>
      <c r="B5" s="2" t="s">
        <v>360</v>
      </c>
      <c r="C5" s="2" t="s">
        <v>14</v>
      </c>
      <c r="D5" s="36">
        <v>1000</v>
      </c>
      <c r="E5" s="36">
        <v>5000</v>
      </c>
      <c r="F5" s="2" t="s">
        <v>19</v>
      </c>
      <c r="G5" s="2">
        <v>3</v>
      </c>
      <c r="H5" s="2"/>
      <c r="I5" s="2" t="s">
        <v>367</v>
      </c>
      <c r="J5" s="2" t="s">
        <v>362</v>
      </c>
      <c r="K5" s="2" t="s">
        <v>366</v>
      </c>
      <c r="L5" s="14" t="s">
        <v>362</v>
      </c>
      <c r="M5" s="14" t="s">
        <v>362</v>
      </c>
      <c r="N5" s="2"/>
    </row>
    <row r="6" spans="1:14" ht="30" x14ac:dyDescent="0.25">
      <c r="A6" s="10">
        <v>46088</v>
      </c>
      <c r="B6" s="2" t="s">
        <v>360</v>
      </c>
      <c r="C6" s="2" t="s">
        <v>14</v>
      </c>
      <c r="D6" s="36">
        <v>1000</v>
      </c>
      <c r="E6" s="36">
        <v>8000</v>
      </c>
      <c r="F6" s="2" t="s">
        <v>19</v>
      </c>
      <c r="G6" s="2">
        <v>6</v>
      </c>
      <c r="H6" s="2"/>
      <c r="I6" s="2" t="s">
        <v>368</v>
      </c>
      <c r="J6" s="2" t="s">
        <v>362</v>
      </c>
      <c r="K6" s="2" t="s">
        <v>366</v>
      </c>
      <c r="L6" s="14" t="s">
        <v>362</v>
      </c>
      <c r="M6" s="14" t="s">
        <v>362</v>
      </c>
      <c r="N6" s="2"/>
    </row>
    <row r="7" spans="1:14" ht="30" x14ac:dyDescent="0.25">
      <c r="A7" s="10">
        <v>46088</v>
      </c>
      <c r="B7" s="2" t="s">
        <v>360</v>
      </c>
      <c r="C7" s="2" t="s">
        <v>14</v>
      </c>
      <c r="D7" s="36">
        <v>1000</v>
      </c>
      <c r="E7" s="36">
        <v>9000</v>
      </c>
      <c r="F7" s="2" t="s">
        <v>19</v>
      </c>
      <c r="G7" s="2">
        <v>7</v>
      </c>
      <c r="H7" s="2"/>
      <c r="I7" s="2" t="s">
        <v>365</v>
      </c>
      <c r="J7" s="2" t="s">
        <v>362</v>
      </c>
      <c r="K7" s="2" t="s">
        <v>366</v>
      </c>
      <c r="L7" s="14" t="s">
        <v>362</v>
      </c>
      <c r="M7" s="14" t="s">
        <v>362</v>
      </c>
      <c r="N7" s="2"/>
    </row>
    <row r="8" spans="1:14" ht="30" x14ac:dyDescent="0.25">
      <c r="A8" s="10">
        <v>46088</v>
      </c>
      <c r="B8" s="2" t="s">
        <v>360</v>
      </c>
      <c r="C8" s="2" t="s">
        <v>14</v>
      </c>
      <c r="D8" s="36">
        <v>1000</v>
      </c>
      <c r="E8" s="36">
        <v>10000</v>
      </c>
      <c r="F8" s="2" t="s">
        <v>19</v>
      </c>
      <c r="G8" s="2">
        <v>7</v>
      </c>
      <c r="H8" s="2"/>
      <c r="I8" s="2" t="s">
        <v>365</v>
      </c>
      <c r="J8" s="2" t="s">
        <v>362</v>
      </c>
      <c r="K8" s="2" t="s">
        <v>366</v>
      </c>
      <c r="L8" s="14" t="s">
        <v>369</v>
      </c>
      <c r="M8" s="14" t="s">
        <v>362</v>
      </c>
      <c r="N8" s="2"/>
    </row>
    <row r="9" spans="1:14" ht="40.5" customHeight="1" x14ac:dyDescent="0.25">
      <c r="A9" s="10">
        <v>46088</v>
      </c>
      <c r="B9" s="2" t="s">
        <v>360</v>
      </c>
      <c r="C9" s="2" t="s">
        <v>14</v>
      </c>
      <c r="D9" s="36">
        <v>1000</v>
      </c>
      <c r="E9" s="36">
        <v>11000</v>
      </c>
      <c r="F9" s="2" t="s">
        <v>19</v>
      </c>
      <c r="G9" s="2">
        <v>7</v>
      </c>
      <c r="H9" s="2"/>
      <c r="I9" s="2" t="s">
        <v>365</v>
      </c>
      <c r="J9" s="2" t="s">
        <v>362</v>
      </c>
      <c r="K9" s="2" t="s">
        <v>370</v>
      </c>
      <c r="L9" s="14" t="s">
        <v>362</v>
      </c>
      <c r="M9" s="14" t="s">
        <v>362</v>
      </c>
      <c r="N9" s="2"/>
    </row>
    <row r="10" spans="1:14" ht="30" x14ac:dyDescent="0.25">
      <c r="A10" s="10">
        <v>46088</v>
      </c>
      <c r="B10" s="2" t="s">
        <v>360</v>
      </c>
      <c r="C10" s="2" t="s">
        <v>14</v>
      </c>
      <c r="D10" s="36">
        <v>1000</v>
      </c>
      <c r="E10" s="36">
        <v>13000</v>
      </c>
      <c r="F10" s="2" t="s">
        <v>19</v>
      </c>
      <c r="G10" s="2">
        <v>10</v>
      </c>
      <c r="H10" s="2"/>
      <c r="I10" s="2" t="s">
        <v>371</v>
      </c>
      <c r="J10" s="2" t="s">
        <v>362</v>
      </c>
      <c r="K10" s="2" t="s">
        <v>366</v>
      </c>
      <c r="L10" s="14" t="s">
        <v>362</v>
      </c>
      <c r="M10" s="14" t="s">
        <v>362</v>
      </c>
      <c r="N10" s="2"/>
    </row>
    <row r="11" spans="1:14" ht="30" x14ac:dyDescent="0.25">
      <c r="A11" s="10">
        <v>46088</v>
      </c>
      <c r="B11" s="2" t="s">
        <v>360</v>
      </c>
      <c r="C11" s="2" t="s">
        <v>14</v>
      </c>
      <c r="D11" s="36">
        <v>1000</v>
      </c>
      <c r="E11" s="36">
        <v>23000</v>
      </c>
      <c r="F11" s="2" t="s">
        <v>19</v>
      </c>
      <c r="G11" s="2">
        <v>20</v>
      </c>
      <c r="H11" s="2"/>
      <c r="I11" s="2" t="s">
        <v>372</v>
      </c>
      <c r="J11" s="2" t="s">
        <v>362</v>
      </c>
      <c r="K11" s="2" t="s">
        <v>366</v>
      </c>
      <c r="L11" s="14" t="s">
        <v>362</v>
      </c>
      <c r="M11" s="14" t="s">
        <v>362</v>
      </c>
      <c r="N11" s="2"/>
    </row>
    <row r="12" spans="1:14" ht="30" x14ac:dyDescent="0.25">
      <c r="A12" s="10">
        <v>46088</v>
      </c>
      <c r="B12" s="2" t="s">
        <v>360</v>
      </c>
      <c r="C12" s="2" t="s">
        <v>14</v>
      </c>
      <c r="D12" s="36">
        <v>1000</v>
      </c>
      <c r="E12" s="36">
        <v>23000</v>
      </c>
      <c r="F12" s="2" t="s">
        <v>19</v>
      </c>
      <c r="G12" s="2">
        <v>30</v>
      </c>
      <c r="H12" s="2" t="s">
        <v>373</v>
      </c>
      <c r="I12" s="2" t="s">
        <v>374</v>
      </c>
      <c r="J12" s="2" t="s">
        <v>362</v>
      </c>
      <c r="K12" s="2" t="s">
        <v>366</v>
      </c>
      <c r="L12" s="14" t="s">
        <v>362</v>
      </c>
      <c r="M12" s="14" t="s">
        <v>362</v>
      </c>
      <c r="N12" s="2"/>
    </row>
    <row r="13" spans="1:14" ht="30" x14ac:dyDescent="0.25">
      <c r="A13" s="10">
        <v>46088</v>
      </c>
      <c r="B13" s="2" t="s">
        <v>360</v>
      </c>
      <c r="C13" s="2" t="s">
        <v>14</v>
      </c>
      <c r="D13" s="36">
        <v>1000</v>
      </c>
      <c r="E13" s="36">
        <v>33000</v>
      </c>
      <c r="F13" s="2" t="s">
        <v>19</v>
      </c>
      <c r="G13" s="2">
        <v>30</v>
      </c>
      <c r="H13" s="2"/>
      <c r="I13" s="2" t="s">
        <v>374</v>
      </c>
      <c r="J13" s="2" t="s">
        <v>362</v>
      </c>
      <c r="K13" s="2" t="s">
        <v>366</v>
      </c>
      <c r="L13" s="14" t="s">
        <v>362</v>
      </c>
      <c r="M13" s="14" t="s">
        <v>362</v>
      </c>
      <c r="N13" s="2"/>
    </row>
    <row r="14" spans="1:14" ht="30" x14ac:dyDescent="0.25">
      <c r="A14" s="10">
        <v>46088</v>
      </c>
      <c r="B14" s="2" t="s">
        <v>360</v>
      </c>
      <c r="C14" s="2" t="s">
        <v>14</v>
      </c>
      <c r="D14" s="36">
        <v>1000</v>
      </c>
      <c r="E14" s="36">
        <v>43000</v>
      </c>
      <c r="F14" s="2" t="s">
        <v>19</v>
      </c>
      <c r="G14" s="2">
        <v>30</v>
      </c>
      <c r="H14" s="2"/>
      <c r="I14" s="2" t="s">
        <v>375</v>
      </c>
      <c r="J14" s="2" t="s">
        <v>362</v>
      </c>
      <c r="K14" s="2" t="s">
        <v>366</v>
      </c>
      <c r="L14" s="14" t="s">
        <v>362</v>
      </c>
      <c r="M14" s="14" t="s">
        <v>362</v>
      </c>
      <c r="N14" s="2"/>
    </row>
    <row r="15" spans="1:14" ht="30" x14ac:dyDescent="0.25">
      <c r="A15" s="10">
        <v>46088</v>
      </c>
      <c r="B15" s="2" t="s">
        <v>360</v>
      </c>
      <c r="C15" s="2" t="s">
        <v>14</v>
      </c>
      <c r="D15" s="36">
        <v>1000</v>
      </c>
      <c r="E15" s="36">
        <v>100000</v>
      </c>
      <c r="F15" s="2" t="s">
        <v>19</v>
      </c>
      <c r="G15" s="2">
        <v>30</v>
      </c>
      <c r="H15" s="2"/>
      <c r="I15" s="2" t="s">
        <v>376</v>
      </c>
      <c r="J15" s="2" t="s">
        <v>362</v>
      </c>
      <c r="K15" s="2" t="s">
        <v>366</v>
      </c>
      <c r="L15" s="14" t="s">
        <v>362</v>
      </c>
      <c r="M15" s="14" t="s">
        <v>362</v>
      </c>
      <c r="N15" s="2"/>
    </row>
    <row r="16" spans="1:14" x14ac:dyDescent="0.25">
      <c r="A16" s="10">
        <v>46088</v>
      </c>
      <c r="B16" s="2" t="s">
        <v>360</v>
      </c>
      <c r="C16" s="2" t="s">
        <v>22</v>
      </c>
      <c r="D16" s="36">
        <v>1000</v>
      </c>
      <c r="E16" s="36">
        <v>2500</v>
      </c>
      <c r="F16" s="2" t="s">
        <v>19</v>
      </c>
      <c r="G16" s="2">
        <v>1</v>
      </c>
      <c r="H16" s="2"/>
      <c r="I16" s="2" t="s">
        <v>377</v>
      </c>
      <c r="J16" s="2" t="s">
        <v>362</v>
      </c>
      <c r="K16" s="2" t="s">
        <v>378</v>
      </c>
      <c r="L16" s="14" t="s">
        <v>362</v>
      </c>
      <c r="M16" s="14" t="s">
        <v>362</v>
      </c>
      <c r="N16" s="2"/>
    </row>
    <row r="17" spans="1:14" ht="45" x14ac:dyDescent="0.25">
      <c r="A17" s="10">
        <v>46088</v>
      </c>
      <c r="B17" s="2" t="s">
        <v>360</v>
      </c>
      <c r="C17" s="2" t="s">
        <v>22</v>
      </c>
      <c r="D17" s="36">
        <v>1000</v>
      </c>
      <c r="E17" s="36">
        <v>5000</v>
      </c>
      <c r="F17" s="2" t="s">
        <v>19</v>
      </c>
      <c r="G17" s="2">
        <v>3</v>
      </c>
      <c r="H17" s="2"/>
      <c r="I17" s="2" t="s">
        <v>379</v>
      </c>
      <c r="J17" s="2" t="s">
        <v>362</v>
      </c>
      <c r="K17" s="2" t="s">
        <v>380</v>
      </c>
      <c r="L17" s="14" t="s">
        <v>362</v>
      </c>
      <c r="M17" s="14" t="s">
        <v>362</v>
      </c>
      <c r="N17" s="2"/>
    </row>
    <row r="18" spans="1:14" ht="30" x14ac:dyDescent="0.25">
      <c r="A18" s="10">
        <v>46088</v>
      </c>
      <c r="B18" s="2" t="s">
        <v>360</v>
      </c>
      <c r="C18" s="2" t="s">
        <v>22</v>
      </c>
      <c r="D18" s="36">
        <v>1000</v>
      </c>
      <c r="E18" s="36">
        <v>8000</v>
      </c>
      <c r="F18" s="2" t="s">
        <v>19</v>
      </c>
      <c r="G18" s="2">
        <v>7</v>
      </c>
      <c r="H18" s="2"/>
      <c r="I18" s="2" t="s">
        <v>365</v>
      </c>
      <c r="J18" s="2" t="s">
        <v>381</v>
      </c>
      <c r="K18" s="2" t="s">
        <v>382</v>
      </c>
      <c r="L18" s="14" t="s">
        <v>362</v>
      </c>
      <c r="M18" s="14" t="s">
        <v>362</v>
      </c>
      <c r="N18" s="2"/>
    </row>
    <row r="19" spans="1:14" ht="30" x14ac:dyDescent="0.25">
      <c r="A19" s="10">
        <v>46088</v>
      </c>
      <c r="B19" s="2" t="s">
        <v>360</v>
      </c>
      <c r="C19" s="2" t="s">
        <v>22</v>
      </c>
      <c r="D19" s="36">
        <v>1000</v>
      </c>
      <c r="E19" s="36">
        <v>9000</v>
      </c>
      <c r="F19" s="2" t="s">
        <v>19</v>
      </c>
      <c r="G19" s="2">
        <v>8</v>
      </c>
      <c r="H19" s="2"/>
      <c r="I19" s="2" t="s">
        <v>371</v>
      </c>
      <c r="J19" s="2" t="s">
        <v>383</v>
      </c>
      <c r="K19" s="2" t="s">
        <v>382</v>
      </c>
      <c r="L19" s="14" t="s">
        <v>362</v>
      </c>
      <c r="M19" s="14" t="s">
        <v>362</v>
      </c>
      <c r="N19" s="2"/>
    </row>
    <row r="20" spans="1:14" ht="30" x14ac:dyDescent="0.25">
      <c r="A20" s="10">
        <v>46088</v>
      </c>
      <c r="B20" s="2" t="s">
        <v>360</v>
      </c>
      <c r="C20" s="2" t="s">
        <v>22</v>
      </c>
      <c r="D20" s="36">
        <v>1000</v>
      </c>
      <c r="E20" s="36">
        <v>13000</v>
      </c>
      <c r="F20" s="2" t="s">
        <v>19</v>
      </c>
      <c r="G20" s="2">
        <v>10</v>
      </c>
      <c r="H20" s="2"/>
      <c r="I20" s="2" t="s">
        <v>384</v>
      </c>
      <c r="J20" s="2" t="s">
        <v>385</v>
      </c>
      <c r="K20" s="2" t="s">
        <v>382</v>
      </c>
      <c r="L20" s="14" t="s">
        <v>362</v>
      </c>
      <c r="M20" s="14" t="s">
        <v>362</v>
      </c>
      <c r="N20" s="2"/>
    </row>
    <row r="21" spans="1:14" ht="45" x14ac:dyDescent="0.25">
      <c r="A21" s="10">
        <v>46088</v>
      </c>
      <c r="B21" s="2" t="s">
        <v>360</v>
      </c>
      <c r="C21" s="2" t="s">
        <v>22</v>
      </c>
      <c r="D21" s="36">
        <v>1000</v>
      </c>
      <c r="E21" s="36">
        <v>20000</v>
      </c>
      <c r="F21" s="2" t="s">
        <v>19</v>
      </c>
      <c r="G21" s="2">
        <v>30</v>
      </c>
      <c r="H21" s="2"/>
      <c r="I21" s="2" t="s">
        <v>386</v>
      </c>
      <c r="J21" s="2" t="s">
        <v>387</v>
      </c>
      <c r="K21" s="2" t="s">
        <v>388</v>
      </c>
      <c r="L21" s="14" t="s">
        <v>362</v>
      </c>
      <c r="M21" s="14" t="s">
        <v>362</v>
      </c>
      <c r="N21" s="2"/>
    </row>
    <row r="22" spans="1:14" ht="45" x14ac:dyDescent="0.25">
      <c r="A22" s="10">
        <v>46088</v>
      </c>
      <c r="B22" s="2" t="s">
        <v>360</v>
      </c>
      <c r="C22" s="2" t="s">
        <v>22</v>
      </c>
      <c r="D22" s="36">
        <v>1000</v>
      </c>
      <c r="E22" s="36">
        <v>32500</v>
      </c>
      <c r="F22" s="2" t="s">
        <v>19</v>
      </c>
      <c r="G22" s="2">
        <v>30</v>
      </c>
      <c r="H22" s="2"/>
      <c r="I22" s="2" t="s">
        <v>389</v>
      </c>
      <c r="J22" s="2" t="s">
        <v>390</v>
      </c>
      <c r="K22" s="2" t="s">
        <v>388</v>
      </c>
      <c r="L22" s="2" t="s">
        <v>391</v>
      </c>
      <c r="M22" s="14" t="s">
        <v>362</v>
      </c>
      <c r="N22" s="2"/>
    </row>
    <row r="23" spans="1:14" ht="45" x14ac:dyDescent="0.25">
      <c r="A23" s="10">
        <v>46088</v>
      </c>
      <c r="B23" s="2" t="s">
        <v>360</v>
      </c>
      <c r="C23" s="2" t="s">
        <v>22</v>
      </c>
      <c r="D23" s="36">
        <v>1000</v>
      </c>
      <c r="E23" s="36">
        <v>52000</v>
      </c>
      <c r="F23" s="2" t="s">
        <v>19</v>
      </c>
      <c r="G23" s="2"/>
      <c r="H23" s="2" t="s">
        <v>392</v>
      </c>
      <c r="I23" s="2" t="s">
        <v>393</v>
      </c>
      <c r="J23" s="2" t="s">
        <v>362</v>
      </c>
      <c r="K23" s="2" t="s">
        <v>388</v>
      </c>
      <c r="L23" s="2" t="s">
        <v>362</v>
      </c>
      <c r="M23" s="2" t="s">
        <v>362</v>
      </c>
      <c r="N23" s="2"/>
    </row>
    <row r="24" spans="1:14" x14ac:dyDescent="0.25">
      <c r="A24" s="10">
        <v>46088</v>
      </c>
      <c r="B24" s="2" t="s">
        <v>360</v>
      </c>
      <c r="C24" s="2" t="s">
        <v>30</v>
      </c>
      <c r="D24" s="36">
        <v>1500</v>
      </c>
      <c r="E24" s="36">
        <v>3000</v>
      </c>
      <c r="F24" s="2" t="s">
        <v>19</v>
      </c>
      <c r="G24" s="2">
        <v>1</v>
      </c>
      <c r="H24" s="2"/>
      <c r="I24" s="2" t="s">
        <v>394</v>
      </c>
      <c r="J24" s="2" t="s">
        <v>362</v>
      </c>
      <c r="K24" s="2" t="s">
        <v>395</v>
      </c>
      <c r="L24" s="2" t="s">
        <v>362</v>
      </c>
      <c r="M24" s="2" t="s">
        <v>362</v>
      </c>
      <c r="N24" s="2"/>
    </row>
    <row r="25" spans="1:14" ht="30" x14ac:dyDescent="0.25">
      <c r="A25" s="10">
        <v>46088</v>
      </c>
      <c r="B25" s="2" t="s">
        <v>360</v>
      </c>
      <c r="C25" s="2" t="s">
        <v>30</v>
      </c>
      <c r="D25" s="36">
        <v>1500</v>
      </c>
      <c r="E25" s="36">
        <v>6000</v>
      </c>
      <c r="F25" s="2" t="s">
        <v>19</v>
      </c>
      <c r="G25" s="2">
        <v>3</v>
      </c>
      <c r="H25" s="2"/>
      <c r="I25" s="2" t="s">
        <v>367</v>
      </c>
      <c r="J25" s="2" t="s">
        <v>362</v>
      </c>
      <c r="K25" s="2" t="s">
        <v>396</v>
      </c>
      <c r="L25" s="2" t="s">
        <v>362</v>
      </c>
      <c r="M25" s="2" t="s">
        <v>362</v>
      </c>
      <c r="N25" s="2"/>
    </row>
    <row r="26" spans="1:14" ht="30" x14ac:dyDescent="0.25">
      <c r="A26" s="10">
        <v>46088</v>
      </c>
      <c r="B26" s="2" t="s">
        <v>360</v>
      </c>
      <c r="C26" s="2" t="s">
        <v>30</v>
      </c>
      <c r="D26" s="36">
        <v>1500</v>
      </c>
      <c r="E26" s="36">
        <v>9000</v>
      </c>
      <c r="F26" s="2" t="s">
        <v>19</v>
      </c>
      <c r="G26" s="2">
        <v>6</v>
      </c>
      <c r="H26" s="2"/>
      <c r="I26" s="2" t="s">
        <v>368</v>
      </c>
      <c r="J26" s="2" t="s">
        <v>362</v>
      </c>
      <c r="K26" s="2" t="s">
        <v>396</v>
      </c>
      <c r="L26" s="2" t="s">
        <v>362</v>
      </c>
      <c r="M26" s="2" t="s">
        <v>362</v>
      </c>
      <c r="N26" s="2"/>
    </row>
    <row r="27" spans="1:14" ht="30" x14ac:dyDescent="0.25">
      <c r="A27" s="10">
        <v>46088</v>
      </c>
      <c r="B27" s="2" t="s">
        <v>360</v>
      </c>
      <c r="C27" s="2" t="s">
        <v>30</v>
      </c>
      <c r="D27" s="36">
        <v>1500</v>
      </c>
      <c r="E27" s="36">
        <v>10000</v>
      </c>
      <c r="F27" s="2" t="s">
        <v>19</v>
      </c>
      <c r="G27" s="2">
        <v>7</v>
      </c>
      <c r="H27" s="2"/>
      <c r="I27" s="2" t="s">
        <v>397</v>
      </c>
      <c r="J27" s="2" t="s">
        <v>362</v>
      </c>
      <c r="K27" s="2" t="s">
        <v>396</v>
      </c>
      <c r="L27" s="2" t="s">
        <v>362</v>
      </c>
      <c r="M27" s="2" t="s">
        <v>362</v>
      </c>
      <c r="N27" s="2"/>
    </row>
    <row r="28" spans="1:14" ht="30" x14ac:dyDescent="0.25">
      <c r="A28" s="10">
        <v>46088</v>
      </c>
      <c r="B28" s="2" t="s">
        <v>360</v>
      </c>
      <c r="C28" s="2" t="s">
        <v>30</v>
      </c>
      <c r="D28" s="36">
        <v>1500</v>
      </c>
      <c r="E28" s="36">
        <v>15000</v>
      </c>
      <c r="F28" s="2" t="s">
        <v>19</v>
      </c>
      <c r="G28" s="2">
        <v>10</v>
      </c>
      <c r="H28" s="2"/>
      <c r="I28" s="2" t="s">
        <v>398</v>
      </c>
      <c r="J28" s="2" t="s">
        <v>362</v>
      </c>
      <c r="K28" s="2" t="s">
        <v>396</v>
      </c>
      <c r="L28" s="2" t="s">
        <v>362</v>
      </c>
      <c r="M28" s="2" t="s">
        <v>362</v>
      </c>
      <c r="N28" s="2"/>
    </row>
    <row r="29" spans="1:14" ht="30" x14ac:dyDescent="0.25">
      <c r="A29" s="10">
        <v>46088</v>
      </c>
      <c r="B29" s="2" t="s">
        <v>360</v>
      </c>
      <c r="C29" s="2" t="s">
        <v>30</v>
      </c>
      <c r="D29" s="36">
        <v>1500</v>
      </c>
      <c r="E29" s="36">
        <v>20000</v>
      </c>
      <c r="F29" s="2" t="s">
        <v>19</v>
      </c>
      <c r="G29" s="2">
        <v>15</v>
      </c>
      <c r="H29" s="2"/>
      <c r="I29" s="2" t="s">
        <v>399</v>
      </c>
      <c r="J29" s="2" t="s">
        <v>362</v>
      </c>
      <c r="K29" s="2" t="s">
        <v>396</v>
      </c>
      <c r="L29" s="2" t="s">
        <v>362</v>
      </c>
      <c r="M29" s="2" t="s">
        <v>362</v>
      </c>
      <c r="N29" s="2"/>
    </row>
    <row r="30" spans="1:14" ht="30" x14ac:dyDescent="0.25">
      <c r="A30" s="10">
        <v>46088</v>
      </c>
      <c r="B30" s="2" t="s">
        <v>360</v>
      </c>
      <c r="C30" s="2" t="s">
        <v>30</v>
      </c>
      <c r="D30" s="36">
        <v>1500</v>
      </c>
      <c r="E30" s="36">
        <v>20000</v>
      </c>
      <c r="F30" s="2" t="s">
        <v>19</v>
      </c>
      <c r="G30" s="2">
        <v>20</v>
      </c>
      <c r="H30" s="2" t="s">
        <v>400</v>
      </c>
      <c r="I30" s="2" t="s">
        <v>401</v>
      </c>
      <c r="J30" s="2" t="s">
        <v>362</v>
      </c>
      <c r="K30" s="2" t="s">
        <v>396</v>
      </c>
      <c r="L30" s="2" t="s">
        <v>362</v>
      </c>
      <c r="M30" s="2" t="s">
        <v>362</v>
      </c>
      <c r="N30" s="2"/>
    </row>
    <row r="31" spans="1:14" ht="30" x14ac:dyDescent="0.25">
      <c r="A31" s="10">
        <v>46088</v>
      </c>
      <c r="B31" s="2" t="s">
        <v>360</v>
      </c>
      <c r="C31" s="2" t="s">
        <v>30</v>
      </c>
      <c r="D31" s="36">
        <v>1500</v>
      </c>
      <c r="E31" s="36">
        <v>25000</v>
      </c>
      <c r="F31" s="2" t="s">
        <v>19</v>
      </c>
      <c r="G31" s="2">
        <v>20</v>
      </c>
      <c r="H31" s="2"/>
      <c r="I31" s="2" t="s">
        <v>402</v>
      </c>
      <c r="J31" s="2" t="s">
        <v>362</v>
      </c>
      <c r="K31" s="2" t="s">
        <v>396</v>
      </c>
      <c r="L31" s="2" t="s">
        <v>362</v>
      </c>
      <c r="M31" s="2" t="s">
        <v>362</v>
      </c>
      <c r="N31" s="2"/>
    </row>
    <row r="32" spans="1:14" ht="30" x14ac:dyDescent="0.25">
      <c r="A32" s="10">
        <v>46088</v>
      </c>
      <c r="B32" s="2" t="s">
        <v>360</v>
      </c>
      <c r="C32" s="2" t="s">
        <v>30</v>
      </c>
      <c r="D32" s="36">
        <v>1500</v>
      </c>
      <c r="E32" s="36">
        <v>35000</v>
      </c>
      <c r="F32" s="2" t="s">
        <v>19</v>
      </c>
      <c r="G32" s="2">
        <v>30</v>
      </c>
      <c r="H32" s="2"/>
      <c r="I32" s="2" t="s">
        <v>403</v>
      </c>
      <c r="J32" s="2" t="s">
        <v>362</v>
      </c>
      <c r="K32" s="2" t="s">
        <v>396</v>
      </c>
      <c r="L32" s="2" t="s">
        <v>362</v>
      </c>
      <c r="M32" s="2" t="s">
        <v>362</v>
      </c>
      <c r="N32" s="2"/>
    </row>
    <row r="33" spans="1:14" ht="30" x14ac:dyDescent="0.25">
      <c r="A33" s="10">
        <v>46088</v>
      </c>
      <c r="B33" s="2" t="s">
        <v>360</v>
      </c>
      <c r="C33" s="2" t="s">
        <v>30</v>
      </c>
      <c r="D33" s="36">
        <v>1500</v>
      </c>
      <c r="E33" s="36">
        <v>45000</v>
      </c>
      <c r="F33" s="2" t="s">
        <v>19</v>
      </c>
      <c r="G33" s="2">
        <v>30</v>
      </c>
      <c r="H33" s="2"/>
      <c r="I33" s="2" t="s">
        <v>404</v>
      </c>
      <c r="J33" s="2" t="s">
        <v>362</v>
      </c>
      <c r="K33" s="2" t="s">
        <v>396</v>
      </c>
      <c r="L33" s="2" t="s">
        <v>362</v>
      </c>
      <c r="M33" s="2" t="s">
        <v>362</v>
      </c>
      <c r="N33" s="2"/>
    </row>
    <row r="34" spans="1:14" ht="30" x14ac:dyDescent="0.25">
      <c r="A34" s="10">
        <v>46088</v>
      </c>
      <c r="B34" s="2" t="s">
        <v>360</v>
      </c>
      <c r="C34" s="2" t="s">
        <v>30</v>
      </c>
      <c r="D34" s="36">
        <v>1500</v>
      </c>
      <c r="E34" s="36">
        <v>50000</v>
      </c>
      <c r="F34" s="2" t="s">
        <v>19</v>
      </c>
      <c r="G34" s="2">
        <v>30</v>
      </c>
      <c r="H34" s="2"/>
      <c r="I34" s="2" t="s">
        <v>405</v>
      </c>
      <c r="J34" s="2" t="s">
        <v>362</v>
      </c>
      <c r="K34" s="2" t="s">
        <v>396</v>
      </c>
      <c r="L34" s="2" t="s">
        <v>362</v>
      </c>
      <c r="M34" s="2" t="s">
        <v>362</v>
      </c>
      <c r="N34" s="2"/>
    </row>
    <row r="35" spans="1:14" ht="30" x14ac:dyDescent="0.25">
      <c r="A35" s="10">
        <v>46088</v>
      </c>
      <c r="B35" s="2" t="s">
        <v>360</v>
      </c>
      <c r="C35" s="2" t="s">
        <v>30</v>
      </c>
      <c r="D35" s="36">
        <v>1500</v>
      </c>
      <c r="E35" s="36">
        <v>100000</v>
      </c>
      <c r="F35" s="2" t="s">
        <v>19</v>
      </c>
      <c r="G35" s="2">
        <v>30</v>
      </c>
      <c r="H35" s="2"/>
      <c r="I35" s="2" t="s">
        <v>406</v>
      </c>
      <c r="J35" s="2" t="s">
        <v>362</v>
      </c>
      <c r="K35" s="2" t="s">
        <v>396</v>
      </c>
      <c r="L35" s="2" t="s">
        <v>362</v>
      </c>
      <c r="M35" s="2" t="s">
        <v>362</v>
      </c>
      <c r="N35" s="2"/>
    </row>
    <row r="36" spans="1:14" ht="42" customHeight="1" x14ac:dyDescent="0.25">
      <c r="A36" s="10">
        <v>46088</v>
      </c>
      <c r="B36" s="2" t="s">
        <v>360</v>
      </c>
      <c r="C36" s="2" t="s">
        <v>39</v>
      </c>
      <c r="D36" s="36">
        <v>1000</v>
      </c>
      <c r="E36" s="36">
        <v>5000</v>
      </c>
      <c r="F36" s="2" t="s">
        <v>19</v>
      </c>
      <c r="G36" s="2">
        <v>3</v>
      </c>
      <c r="H36" s="2"/>
      <c r="I36" s="2" t="s">
        <v>407</v>
      </c>
      <c r="J36" s="2" t="s">
        <v>362</v>
      </c>
      <c r="K36" s="2" t="s">
        <v>408</v>
      </c>
      <c r="L36" s="2" t="s">
        <v>362</v>
      </c>
      <c r="M36" s="2" t="s">
        <v>362</v>
      </c>
      <c r="N36" s="2"/>
    </row>
    <row r="37" spans="1:14" ht="43.5" customHeight="1" x14ac:dyDescent="0.25">
      <c r="A37" s="10">
        <v>46088</v>
      </c>
      <c r="B37" s="2" t="s">
        <v>360</v>
      </c>
      <c r="C37" s="2" t="s">
        <v>39</v>
      </c>
      <c r="D37" s="36">
        <v>1000</v>
      </c>
      <c r="E37" s="36">
        <v>8000</v>
      </c>
      <c r="F37" s="2" t="s">
        <v>19</v>
      </c>
      <c r="G37" s="2">
        <v>6</v>
      </c>
      <c r="H37" s="2"/>
      <c r="I37" s="2" t="s">
        <v>409</v>
      </c>
      <c r="J37" s="2" t="s">
        <v>362</v>
      </c>
      <c r="K37" s="2" t="s">
        <v>408</v>
      </c>
      <c r="L37" s="2" t="s">
        <v>362</v>
      </c>
      <c r="M37" s="2" t="s">
        <v>362</v>
      </c>
      <c r="N37" s="2"/>
    </row>
    <row r="38" spans="1:14" ht="48" customHeight="1" x14ac:dyDescent="0.25">
      <c r="A38" s="10">
        <v>46088</v>
      </c>
      <c r="B38" s="2" t="s">
        <v>360</v>
      </c>
      <c r="C38" s="2" t="s">
        <v>39</v>
      </c>
      <c r="D38" s="36">
        <v>1000</v>
      </c>
      <c r="E38" s="36">
        <v>8500</v>
      </c>
      <c r="F38" s="2" t="s">
        <v>19</v>
      </c>
      <c r="G38" s="2">
        <v>7</v>
      </c>
      <c r="H38" s="2"/>
      <c r="I38" s="2" t="s">
        <v>410</v>
      </c>
      <c r="J38" s="2" t="s">
        <v>362</v>
      </c>
      <c r="K38" s="2" t="s">
        <v>408</v>
      </c>
      <c r="L38" s="2" t="s">
        <v>362</v>
      </c>
      <c r="M38" s="2" t="s">
        <v>362</v>
      </c>
      <c r="N38" s="2"/>
    </row>
    <row r="39" spans="1:14" ht="45" x14ac:dyDescent="0.25">
      <c r="A39" s="10">
        <v>46088</v>
      </c>
      <c r="B39" s="2" t="s">
        <v>360</v>
      </c>
      <c r="C39" s="2" t="s">
        <v>39</v>
      </c>
      <c r="D39" s="36">
        <v>1000</v>
      </c>
      <c r="E39" s="36">
        <v>10000</v>
      </c>
      <c r="F39" s="2" t="s">
        <v>19</v>
      </c>
      <c r="G39" s="2">
        <v>7</v>
      </c>
      <c r="H39" s="2"/>
      <c r="I39" s="2" t="s">
        <v>411</v>
      </c>
      <c r="J39" s="2" t="s">
        <v>412</v>
      </c>
      <c r="K39" s="2" t="s">
        <v>413</v>
      </c>
      <c r="L39" s="2" t="s">
        <v>414</v>
      </c>
      <c r="M39" s="15" t="s">
        <v>362</v>
      </c>
      <c r="N39" s="2"/>
    </row>
    <row r="40" spans="1:14" ht="40.5" customHeight="1" x14ac:dyDescent="0.25">
      <c r="A40" s="10">
        <v>46088</v>
      </c>
      <c r="B40" s="2" t="s">
        <v>360</v>
      </c>
      <c r="C40" s="2" t="s">
        <v>39</v>
      </c>
      <c r="D40" s="36">
        <v>1000</v>
      </c>
      <c r="E40" s="36">
        <v>11000</v>
      </c>
      <c r="F40" s="2" t="s">
        <v>19</v>
      </c>
      <c r="G40" s="2">
        <v>7</v>
      </c>
      <c r="H40" s="2"/>
      <c r="I40" s="2" t="s">
        <v>371</v>
      </c>
      <c r="J40" s="2" t="s">
        <v>362</v>
      </c>
      <c r="K40" s="2" t="s">
        <v>415</v>
      </c>
      <c r="L40" s="15" t="s">
        <v>362</v>
      </c>
      <c r="M40" s="15" t="s">
        <v>362</v>
      </c>
      <c r="N40" s="2"/>
    </row>
    <row r="41" spans="1:14" ht="43.5" customHeight="1" x14ac:dyDescent="0.25">
      <c r="A41" s="10">
        <v>46088</v>
      </c>
      <c r="B41" s="2" t="s">
        <v>360</v>
      </c>
      <c r="C41" s="2" t="s">
        <v>39</v>
      </c>
      <c r="D41" s="36">
        <v>1000</v>
      </c>
      <c r="E41" s="36">
        <v>13000</v>
      </c>
      <c r="F41" s="2" t="s">
        <v>19</v>
      </c>
      <c r="G41" s="2">
        <v>10</v>
      </c>
      <c r="H41" s="2"/>
      <c r="I41" s="2" t="s">
        <v>384</v>
      </c>
      <c r="J41" s="2" t="s">
        <v>362</v>
      </c>
      <c r="K41" s="2" t="s">
        <v>408</v>
      </c>
      <c r="L41" s="2" t="s">
        <v>362</v>
      </c>
      <c r="M41" s="2" t="s">
        <v>362</v>
      </c>
      <c r="N41" s="2"/>
    </row>
    <row r="42" spans="1:14" ht="45" x14ac:dyDescent="0.25">
      <c r="A42" s="10">
        <v>46088</v>
      </c>
      <c r="B42" s="2" t="s">
        <v>360</v>
      </c>
      <c r="C42" s="2" t="s">
        <v>39</v>
      </c>
      <c r="D42" s="36">
        <v>1000</v>
      </c>
      <c r="E42" s="36">
        <v>17000</v>
      </c>
      <c r="F42" s="2" t="s">
        <v>19</v>
      </c>
      <c r="G42" s="2">
        <v>15</v>
      </c>
      <c r="H42" s="2"/>
      <c r="I42" s="2" t="s">
        <v>416</v>
      </c>
      <c r="J42" s="2" t="s">
        <v>417</v>
      </c>
      <c r="K42" s="2" t="s">
        <v>413</v>
      </c>
      <c r="L42" s="2" t="s">
        <v>418</v>
      </c>
      <c r="M42" s="2" t="s">
        <v>362</v>
      </c>
      <c r="N42" s="2"/>
    </row>
    <row r="43" spans="1:14" ht="45.75" customHeight="1" x14ac:dyDescent="0.25">
      <c r="A43" s="10">
        <v>46088</v>
      </c>
      <c r="B43" s="2" t="s">
        <v>360</v>
      </c>
      <c r="C43" s="2" t="s">
        <v>39</v>
      </c>
      <c r="D43" s="36">
        <v>1000</v>
      </c>
      <c r="E43" s="36">
        <v>19000</v>
      </c>
      <c r="F43" s="2" t="s">
        <v>19</v>
      </c>
      <c r="G43" s="2">
        <v>20</v>
      </c>
      <c r="H43" s="2"/>
      <c r="I43" s="2" t="s">
        <v>419</v>
      </c>
      <c r="J43" s="2" t="s">
        <v>362</v>
      </c>
      <c r="K43" s="2" t="s">
        <v>408</v>
      </c>
      <c r="L43" s="2" t="s">
        <v>362</v>
      </c>
      <c r="M43" s="2" t="s">
        <v>362</v>
      </c>
      <c r="N43" s="2"/>
    </row>
    <row r="44" spans="1:14" ht="44.25" customHeight="1" x14ac:dyDescent="0.25">
      <c r="A44" s="10">
        <v>46088</v>
      </c>
      <c r="B44" s="2" t="s">
        <v>360</v>
      </c>
      <c r="C44" s="2" t="s">
        <v>39</v>
      </c>
      <c r="D44" s="36">
        <v>1000</v>
      </c>
      <c r="E44" s="36">
        <v>22000</v>
      </c>
      <c r="F44" s="2" t="s">
        <v>19</v>
      </c>
      <c r="G44" s="2">
        <v>30</v>
      </c>
      <c r="H44" s="2"/>
      <c r="I44" s="2" t="s">
        <v>420</v>
      </c>
      <c r="J44" s="2" t="s">
        <v>362</v>
      </c>
      <c r="K44" s="2" t="s">
        <v>408</v>
      </c>
      <c r="L44" s="2" t="s">
        <v>362</v>
      </c>
      <c r="M44" s="2" t="s">
        <v>362</v>
      </c>
      <c r="N44" s="2"/>
    </row>
    <row r="45" spans="1:14" ht="67.5" customHeight="1" x14ac:dyDescent="0.25">
      <c r="A45" s="10">
        <v>46088</v>
      </c>
      <c r="B45" s="2" t="s">
        <v>360</v>
      </c>
      <c r="C45" s="2" t="s">
        <v>39</v>
      </c>
      <c r="D45" s="36">
        <v>1000</v>
      </c>
      <c r="E45" s="36">
        <v>26900</v>
      </c>
      <c r="F45" s="2" t="s">
        <v>19</v>
      </c>
      <c r="G45" s="2">
        <v>15</v>
      </c>
      <c r="H45" s="2"/>
      <c r="I45" s="2" t="s">
        <v>406</v>
      </c>
      <c r="J45" s="2" t="s">
        <v>362</v>
      </c>
      <c r="K45" s="2" t="s">
        <v>421</v>
      </c>
      <c r="L45" s="2" t="s">
        <v>362</v>
      </c>
      <c r="M45" s="2" t="s">
        <v>362</v>
      </c>
      <c r="N45" s="2"/>
    </row>
    <row r="46" spans="1:14" ht="48.75" customHeight="1" x14ac:dyDescent="0.25">
      <c r="A46" s="10">
        <v>46088</v>
      </c>
      <c r="B46" s="2" t="s">
        <v>360</v>
      </c>
      <c r="C46" s="2" t="s">
        <v>39</v>
      </c>
      <c r="D46" s="36">
        <v>1000</v>
      </c>
      <c r="E46" s="36">
        <v>27000</v>
      </c>
      <c r="F46" s="2" t="s">
        <v>19</v>
      </c>
      <c r="G46" s="2">
        <v>30</v>
      </c>
      <c r="H46" s="2"/>
      <c r="I46" s="2" t="s">
        <v>422</v>
      </c>
      <c r="J46" s="2" t="s">
        <v>362</v>
      </c>
      <c r="K46" s="2" t="s">
        <v>408</v>
      </c>
      <c r="L46" s="2" t="s">
        <v>362</v>
      </c>
      <c r="M46" s="2" t="s">
        <v>362</v>
      </c>
      <c r="N46" s="2"/>
    </row>
    <row r="47" spans="1:14" ht="45" x14ac:dyDescent="0.25">
      <c r="A47" s="10">
        <v>46088</v>
      </c>
      <c r="B47" s="2" t="s">
        <v>360</v>
      </c>
      <c r="C47" s="2" t="s">
        <v>39</v>
      </c>
      <c r="D47" s="36">
        <v>1000</v>
      </c>
      <c r="E47" s="36">
        <v>30000</v>
      </c>
      <c r="F47" s="2" t="s">
        <v>19</v>
      </c>
      <c r="G47" s="2">
        <v>30</v>
      </c>
      <c r="H47" s="2"/>
      <c r="I47" s="2" t="s">
        <v>423</v>
      </c>
      <c r="J47" s="2" t="s">
        <v>424</v>
      </c>
      <c r="K47" s="2" t="s">
        <v>413</v>
      </c>
      <c r="L47" s="2" t="s">
        <v>425</v>
      </c>
      <c r="M47" s="2" t="s">
        <v>362</v>
      </c>
      <c r="N47" s="2"/>
    </row>
    <row r="48" spans="1:14" ht="30" x14ac:dyDescent="0.25">
      <c r="A48" s="10">
        <v>46088</v>
      </c>
      <c r="B48" s="2" t="s">
        <v>360</v>
      </c>
      <c r="C48" s="15" t="s">
        <v>45</v>
      </c>
      <c r="D48" s="36">
        <v>1000</v>
      </c>
      <c r="E48" s="37">
        <v>4500</v>
      </c>
      <c r="F48" s="2" t="s">
        <v>19</v>
      </c>
      <c r="G48" s="15">
        <v>3</v>
      </c>
      <c r="H48" s="15"/>
      <c r="I48" s="15" t="s">
        <v>426</v>
      </c>
      <c r="J48" s="15" t="s">
        <v>362</v>
      </c>
      <c r="K48" s="15" t="s">
        <v>427</v>
      </c>
      <c r="L48" s="15" t="s">
        <v>362</v>
      </c>
      <c r="M48" s="15" t="s">
        <v>362</v>
      </c>
      <c r="N48" s="2"/>
    </row>
    <row r="49" spans="1:14" ht="30" x14ac:dyDescent="0.25">
      <c r="A49" s="10">
        <v>46088</v>
      </c>
      <c r="B49" s="2" t="s">
        <v>360</v>
      </c>
      <c r="C49" s="15" t="s">
        <v>45</v>
      </c>
      <c r="D49" s="36">
        <v>1000</v>
      </c>
      <c r="E49" s="36">
        <v>7500</v>
      </c>
      <c r="F49" s="2" t="s">
        <v>19</v>
      </c>
      <c r="G49" s="2">
        <v>7</v>
      </c>
      <c r="H49" s="2"/>
      <c r="I49" s="2" t="s">
        <v>428</v>
      </c>
      <c r="J49" s="15" t="s">
        <v>362</v>
      </c>
      <c r="K49" s="15" t="s">
        <v>429</v>
      </c>
      <c r="L49" s="2" t="s">
        <v>362</v>
      </c>
      <c r="M49" s="2" t="s">
        <v>362</v>
      </c>
      <c r="N49" s="2"/>
    </row>
    <row r="50" spans="1:14" ht="30" x14ac:dyDescent="0.25">
      <c r="A50" s="10">
        <v>46088</v>
      </c>
      <c r="B50" s="2" t="s">
        <v>360</v>
      </c>
      <c r="C50" s="15" t="s">
        <v>45</v>
      </c>
      <c r="D50" s="36">
        <v>1000</v>
      </c>
      <c r="E50" s="36">
        <v>15000</v>
      </c>
      <c r="F50" s="2" t="s">
        <v>19</v>
      </c>
      <c r="G50" s="2">
        <v>15</v>
      </c>
      <c r="H50" s="2"/>
      <c r="I50" s="2" t="s">
        <v>416</v>
      </c>
      <c r="J50" s="15" t="s">
        <v>362</v>
      </c>
      <c r="K50" s="15" t="s">
        <v>430</v>
      </c>
      <c r="L50" s="2" t="s">
        <v>362</v>
      </c>
      <c r="M50" s="2" t="s">
        <v>362</v>
      </c>
      <c r="N50" s="2"/>
    </row>
    <row r="51" spans="1:14" ht="30" x14ac:dyDescent="0.25">
      <c r="A51" s="10">
        <v>46088</v>
      </c>
      <c r="B51" s="2" t="s">
        <v>360</v>
      </c>
      <c r="C51" s="15" t="s">
        <v>45</v>
      </c>
      <c r="D51" s="36">
        <v>1000</v>
      </c>
      <c r="E51" s="36">
        <v>16000</v>
      </c>
      <c r="F51" s="2" t="s">
        <v>19</v>
      </c>
      <c r="G51" s="2">
        <v>30</v>
      </c>
      <c r="H51" s="2"/>
      <c r="I51" s="2" t="s">
        <v>409</v>
      </c>
      <c r="J51" s="15" t="s">
        <v>362</v>
      </c>
      <c r="K51" s="15" t="s">
        <v>431</v>
      </c>
      <c r="L51" s="2" t="s">
        <v>362</v>
      </c>
      <c r="M51" s="2" t="s">
        <v>362</v>
      </c>
      <c r="N51" s="2"/>
    </row>
    <row r="52" spans="1:14" ht="45" x14ac:dyDescent="0.25">
      <c r="A52" s="10">
        <v>46088</v>
      </c>
      <c r="B52" s="2" t="s">
        <v>360</v>
      </c>
      <c r="C52" s="15" t="s">
        <v>45</v>
      </c>
      <c r="D52" s="36">
        <v>1000</v>
      </c>
      <c r="E52" s="36">
        <v>22000</v>
      </c>
      <c r="F52" s="2" t="s">
        <v>19</v>
      </c>
      <c r="G52" s="2">
        <v>30</v>
      </c>
      <c r="H52" s="2"/>
      <c r="I52" s="2" t="s">
        <v>393</v>
      </c>
      <c r="J52" s="15" t="s">
        <v>362</v>
      </c>
      <c r="K52" s="15" t="s">
        <v>432</v>
      </c>
      <c r="L52" s="2" t="s">
        <v>362</v>
      </c>
      <c r="M52" s="2" t="s">
        <v>362</v>
      </c>
      <c r="N52" s="2"/>
    </row>
    <row r="53" spans="1:14" ht="45" x14ac:dyDescent="0.25">
      <c r="A53" s="10">
        <v>46088</v>
      </c>
      <c r="B53" s="2" t="s">
        <v>360</v>
      </c>
      <c r="C53" s="15" t="s">
        <v>45</v>
      </c>
      <c r="D53" s="36">
        <v>1000</v>
      </c>
      <c r="E53" s="36">
        <v>26000</v>
      </c>
      <c r="F53" s="2" t="s">
        <v>19</v>
      </c>
      <c r="G53" s="2">
        <v>30</v>
      </c>
      <c r="H53" s="2"/>
      <c r="I53" s="2" t="s">
        <v>433</v>
      </c>
      <c r="J53" s="15" t="s">
        <v>362</v>
      </c>
      <c r="K53" s="15" t="s">
        <v>434</v>
      </c>
      <c r="L53" s="2" t="s">
        <v>362</v>
      </c>
      <c r="M53" s="2" t="s">
        <v>362</v>
      </c>
      <c r="N53" s="2"/>
    </row>
    <row r="54" spans="1:14" ht="45" x14ac:dyDescent="0.25">
      <c r="A54" s="10">
        <v>46088</v>
      </c>
      <c r="B54" s="2" t="s">
        <v>360</v>
      </c>
      <c r="C54" s="15" t="s">
        <v>45</v>
      </c>
      <c r="D54" s="36">
        <v>1000</v>
      </c>
      <c r="E54" s="36">
        <v>33000</v>
      </c>
      <c r="F54" s="2" t="s">
        <v>19</v>
      </c>
      <c r="G54" s="2">
        <v>30</v>
      </c>
      <c r="H54" s="2"/>
      <c r="I54" s="2" t="s">
        <v>435</v>
      </c>
      <c r="J54" s="15" t="s">
        <v>362</v>
      </c>
      <c r="K54" s="15" t="s">
        <v>432</v>
      </c>
      <c r="L54" s="2" t="s">
        <v>362</v>
      </c>
      <c r="M54" s="2" t="s">
        <v>362</v>
      </c>
      <c r="N54" s="2"/>
    </row>
    <row r="55" spans="1:14" ht="45" x14ac:dyDescent="0.25">
      <c r="A55" s="10">
        <v>46088</v>
      </c>
      <c r="B55" s="2" t="s">
        <v>360</v>
      </c>
      <c r="C55" s="15" t="s">
        <v>45</v>
      </c>
      <c r="D55" s="36">
        <v>1000</v>
      </c>
      <c r="E55" s="36">
        <v>40000</v>
      </c>
      <c r="F55" s="2" t="s">
        <v>19</v>
      </c>
      <c r="G55" s="2">
        <v>30</v>
      </c>
      <c r="H55" s="2"/>
      <c r="I55" s="2" t="s">
        <v>436</v>
      </c>
      <c r="J55" s="15" t="s">
        <v>362</v>
      </c>
      <c r="K55" s="15" t="s">
        <v>437</v>
      </c>
      <c r="L55" s="2" t="s">
        <v>362</v>
      </c>
      <c r="M55" s="2" t="s">
        <v>362</v>
      </c>
      <c r="N55" s="2"/>
    </row>
    <row r="56" spans="1:14" ht="45" x14ac:dyDescent="0.25">
      <c r="A56" s="10">
        <v>46088</v>
      </c>
      <c r="B56" s="2" t="s">
        <v>360</v>
      </c>
      <c r="C56" s="15" t="s">
        <v>45</v>
      </c>
      <c r="D56" s="36">
        <v>1000</v>
      </c>
      <c r="E56" s="36">
        <v>60000</v>
      </c>
      <c r="F56" s="2" t="s">
        <v>19</v>
      </c>
      <c r="G56" s="2">
        <v>30</v>
      </c>
      <c r="H56" s="2"/>
      <c r="I56" s="2" t="s">
        <v>376</v>
      </c>
      <c r="J56" s="15" t="s">
        <v>362</v>
      </c>
      <c r="K56" s="15" t="s">
        <v>437</v>
      </c>
      <c r="L56" s="2" t="s">
        <v>362</v>
      </c>
      <c r="M56" s="2" t="s">
        <v>362</v>
      </c>
      <c r="N56" s="2"/>
    </row>
    <row r="57" spans="1:14" x14ac:dyDescent="0.25">
      <c r="A57" s="10">
        <v>46088</v>
      </c>
      <c r="B57" s="2" t="s">
        <v>360</v>
      </c>
      <c r="C57" s="15" t="s">
        <v>45</v>
      </c>
      <c r="D57" s="36">
        <v>1000</v>
      </c>
      <c r="E57" s="36">
        <v>90000</v>
      </c>
      <c r="F57" s="2" t="s">
        <v>19</v>
      </c>
      <c r="G57" s="2">
        <v>30</v>
      </c>
      <c r="H57" s="2"/>
      <c r="I57" s="2" t="s">
        <v>406</v>
      </c>
      <c r="J57" s="15" t="s">
        <v>362</v>
      </c>
      <c r="K57" s="2" t="s">
        <v>438</v>
      </c>
      <c r="L57" s="2" t="s">
        <v>362</v>
      </c>
      <c r="M57" s="2" t="s">
        <v>362</v>
      </c>
      <c r="N57" s="2"/>
    </row>
    <row r="58" spans="1:14" ht="45" x14ac:dyDescent="0.25">
      <c r="A58" s="23">
        <v>46090</v>
      </c>
      <c r="B58" s="20" t="s">
        <v>310</v>
      </c>
      <c r="C58" s="15" t="s">
        <v>14</v>
      </c>
      <c r="D58" s="37">
        <v>2380</v>
      </c>
      <c r="E58" s="37">
        <v>5000</v>
      </c>
      <c r="F58" s="15" t="s">
        <v>439</v>
      </c>
      <c r="G58" s="15">
        <v>3</v>
      </c>
      <c r="H58" s="15"/>
      <c r="I58" s="15" t="s">
        <v>440</v>
      </c>
      <c r="J58" s="15" t="s">
        <v>441</v>
      </c>
      <c r="K58" s="15" t="s">
        <v>442</v>
      </c>
      <c r="L58" s="15" t="s">
        <v>443</v>
      </c>
      <c r="M58" s="15"/>
      <c r="N58" s="15" t="s">
        <v>444</v>
      </c>
    </row>
    <row r="59" spans="1:14" ht="45" x14ac:dyDescent="0.25">
      <c r="A59" s="23">
        <v>46090</v>
      </c>
      <c r="B59" s="20" t="s">
        <v>310</v>
      </c>
      <c r="C59" s="15" t="s">
        <v>14</v>
      </c>
      <c r="D59" s="37">
        <v>2380</v>
      </c>
      <c r="E59" s="37">
        <v>8000</v>
      </c>
      <c r="F59" s="15" t="s">
        <v>445</v>
      </c>
      <c r="G59" s="15">
        <v>6</v>
      </c>
      <c r="H59" s="15"/>
      <c r="I59" s="15" t="s">
        <v>446</v>
      </c>
      <c r="J59" s="15" t="s">
        <v>441</v>
      </c>
      <c r="K59" s="15" t="s">
        <v>442</v>
      </c>
      <c r="L59" s="15" t="s">
        <v>443</v>
      </c>
      <c r="M59" s="15"/>
      <c r="N59" s="15" t="s">
        <v>444</v>
      </c>
    </row>
    <row r="60" spans="1:14" ht="45" x14ac:dyDescent="0.25">
      <c r="A60" s="23">
        <v>46090</v>
      </c>
      <c r="B60" s="20" t="s">
        <v>310</v>
      </c>
      <c r="C60" s="15" t="s">
        <v>14</v>
      </c>
      <c r="D60" s="37">
        <v>2380</v>
      </c>
      <c r="E60" s="37">
        <v>9000</v>
      </c>
      <c r="F60" s="15" t="s">
        <v>447</v>
      </c>
      <c r="G60" s="15">
        <v>7</v>
      </c>
      <c r="H60" s="15"/>
      <c r="I60" s="15" t="s">
        <v>448</v>
      </c>
      <c r="J60" s="15" t="s">
        <v>441</v>
      </c>
      <c r="K60" s="15" t="s">
        <v>442</v>
      </c>
      <c r="L60" s="15" t="s">
        <v>443</v>
      </c>
      <c r="M60" s="15"/>
      <c r="N60" s="15" t="s">
        <v>444</v>
      </c>
    </row>
    <row r="61" spans="1:14" ht="45" x14ac:dyDescent="0.25">
      <c r="A61" s="23">
        <v>46090</v>
      </c>
      <c r="B61" s="20" t="s">
        <v>310</v>
      </c>
      <c r="C61" s="15" t="s">
        <v>14</v>
      </c>
      <c r="D61" s="37">
        <v>2380</v>
      </c>
      <c r="E61" s="37">
        <v>13000</v>
      </c>
      <c r="F61" s="15" t="s">
        <v>449</v>
      </c>
      <c r="G61" s="15">
        <v>10</v>
      </c>
      <c r="H61" s="15"/>
      <c r="I61" s="15" t="s">
        <v>450</v>
      </c>
      <c r="J61" s="15" t="s">
        <v>441</v>
      </c>
      <c r="K61" s="15" t="s">
        <v>442</v>
      </c>
      <c r="L61" s="15" t="s">
        <v>443</v>
      </c>
      <c r="M61" s="15"/>
      <c r="N61" s="15" t="s">
        <v>444</v>
      </c>
    </row>
    <row r="62" spans="1:14" ht="45" x14ac:dyDescent="0.25">
      <c r="A62" s="23">
        <v>46090</v>
      </c>
      <c r="B62" s="20" t="s">
        <v>310</v>
      </c>
      <c r="C62" s="15" t="s">
        <v>14</v>
      </c>
      <c r="D62" s="37">
        <v>2380</v>
      </c>
      <c r="E62" s="37">
        <v>23000</v>
      </c>
      <c r="F62" s="15" t="s">
        <v>451</v>
      </c>
      <c r="G62" s="15">
        <v>20</v>
      </c>
      <c r="H62" s="15"/>
      <c r="I62" s="15" t="s">
        <v>452</v>
      </c>
      <c r="J62" s="15" t="s">
        <v>441</v>
      </c>
      <c r="K62" s="15" t="s">
        <v>442</v>
      </c>
      <c r="L62" s="15" t="s">
        <v>443</v>
      </c>
      <c r="M62" s="15"/>
      <c r="N62" s="15" t="s">
        <v>444</v>
      </c>
    </row>
    <row r="63" spans="1:14" ht="45" x14ac:dyDescent="0.25">
      <c r="A63" s="23">
        <v>46090</v>
      </c>
      <c r="B63" s="20" t="s">
        <v>310</v>
      </c>
      <c r="C63" s="15" t="s">
        <v>14</v>
      </c>
      <c r="D63" s="37">
        <v>2380</v>
      </c>
      <c r="E63" s="37">
        <v>33000</v>
      </c>
      <c r="F63" s="15" t="s">
        <v>453</v>
      </c>
      <c r="G63" s="15">
        <v>30</v>
      </c>
      <c r="H63" s="15"/>
      <c r="I63" s="15" t="s">
        <v>454</v>
      </c>
      <c r="J63" s="15" t="s">
        <v>441</v>
      </c>
      <c r="K63" s="15" t="s">
        <v>442</v>
      </c>
      <c r="L63" s="15" t="s">
        <v>443</v>
      </c>
      <c r="M63" s="15"/>
      <c r="N63" s="15" t="s">
        <v>444</v>
      </c>
    </row>
    <row r="64" spans="1:14" ht="45" x14ac:dyDescent="0.25">
      <c r="A64" s="23">
        <v>46090</v>
      </c>
      <c r="B64" s="20" t="s">
        <v>310</v>
      </c>
      <c r="C64" s="15" t="s">
        <v>14</v>
      </c>
      <c r="D64" s="37">
        <v>2380</v>
      </c>
      <c r="E64" s="37">
        <v>43000</v>
      </c>
      <c r="F64" s="15" t="s">
        <v>453</v>
      </c>
      <c r="G64" s="15">
        <v>30</v>
      </c>
      <c r="H64" s="15"/>
      <c r="I64" s="15" t="s">
        <v>455</v>
      </c>
      <c r="J64" s="15" t="s">
        <v>441</v>
      </c>
      <c r="K64" s="15" t="s">
        <v>442</v>
      </c>
      <c r="L64" s="15" t="s">
        <v>443</v>
      </c>
      <c r="M64" s="15"/>
      <c r="N64" s="15" t="s">
        <v>444</v>
      </c>
    </row>
    <row r="65" spans="1:14" ht="45" x14ac:dyDescent="0.25">
      <c r="A65" s="23">
        <v>46090</v>
      </c>
      <c r="B65" s="20" t="s">
        <v>310</v>
      </c>
      <c r="C65" s="15" t="s">
        <v>14</v>
      </c>
      <c r="D65" s="37">
        <v>2380</v>
      </c>
      <c r="E65" s="37">
        <v>100000</v>
      </c>
      <c r="F65" s="15" t="s">
        <v>453</v>
      </c>
      <c r="G65" s="15">
        <v>30</v>
      </c>
      <c r="H65" s="15"/>
      <c r="I65" s="15" t="s">
        <v>456</v>
      </c>
      <c r="J65" s="15" t="s">
        <v>441</v>
      </c>
      <c r="K65" s="15" t="s">
        <v>442</v>
      </c>
      <c r="L65" s="15" t="s">
        <v>443</v>
      </c>
      <c r="M65" s="15"/>
      <c r="N65" s="15" t="s">
        <v>444</v>
      </c>
    </row>
    <row r="66" spans="1:14" ht="30" x14ac:dyDescent="0.25">
      <c r="A66" s="23">
        <v>46090</v>
      </c>
      <c r="B66" s="20" t="s">
        <v>310</v>
      </c>
      <c r="C66" s="15" t="s">
        <v>14</v>
      </c>
      <c r="D66" s="37">
        <v>2380</v>
      </c>
      <c r="E66" s="37">
        <v>13000</v>
      </c>
      <c r="F66" s="15" t="s">
        <v>447</v>
      </c>
      <c r="G66" s="15">
        <v>7</v>
      </c>
      <c r="H66" s="15"/>
      <c r="I66" s="15" t="s">
        <v>457</v>
      </c>
      <c r="J66" s="15" t="s">
        <v>441</v>
      </c>
      <c r="K66" s="15"/>
      <c r="L66" s="15" t="s">
        <v>443</v>
      </c>
      <c r="M66" s="15"/>
      <c r="N66" s="15" t="s">
        <v>458</v>
      </c>
    </row>
    <row r="67" spans="1:14" ht="30" x14ac:dyDescent="0.25">
      <c r="A67" s="23">
        <v>46090</v>
      </c>
      <c r="B67" s="20" t="s">
        <v>310</v>
      </c>
      <c r="C67" s="15" t="s">
        <v>14</v>
      </c>
      <c r="D67" s="37">
        <v>2380</v>
      </c>
      <c r="E67" s="37">
        <v>23000</v>
      </c>
      <c r="F67" s="15" t="s">
        <v>459</v>
      </c>
      <c r="G67" s="15">
        <v>15</v>
      </c>
      <c r="H67" s="15"/>
      <c r="I67" s="15" t="s">
        <v>460</v>
      </c>
      <c r="J67" s="15" t="s">
        <v>441</v>
      </c>
      <c r="K67" s="15"/>
      <c r="L67" s="15" t="s">
        <v>443</v>
      </c>
      <c r="M67" s="15"/>
      <c r="N67" s="15" t="s">
        <v>458</v>
      </c>
    </row>
    <row r="68" spans="1:14" ht="30" x14ac:dyDescent="0.25">
      <c r="A68" s="23">
        <v>46090</v>
      </c>
      <c r="B68" s="20" t="s">
        <v>310</v>
      </c>
      <c r="C68" s="15" t="s">
        <v>14</v>
      </c>
      <c r="D68" s="37">
        <v>2380</v>
      </c>
      <c r="E68" s="37">
        <v>33000</v>
      </c>
      <c r="F68" s="15" t="s">
        <v>453</v>
      </c>
      <c r="G68" s="15">
        <v>30</v>
      </c>
      <c r="H68" s="15"/>
      <c r="I68" s="15" t="s">
        <v>461</v>
      </c>
      <c r="J68" s="15" t="s">
        <v>441</v>
      </c>
      <c r="K68" s="15"/>
      <c r="L68" s="15" t="s">
        <v>443</v>
      </c>
      <c r="M68" s="15"/>
      <c r="N68" s="15" t="s">
        <v>458</v>
      </c>
    </row>
    <row r="69" spans="1:14" ht="30" x14ac:dyDescent="0.25">
      <c r="A69" s="23">
        <v>46090</v>
      </c>
      <c r="B69" s="20" t="s">
        <v>310</v>
      </c>
      <c r="C69" s="15" t="s">
        <v>14</v>
      </c>
      <c r="D69" s="37">
        <v>2380</v>
      </c>
      <c r="E69" s="37">
        <v>4500</v>
      </c>
      <c r="F69" s="15" t="s">
        <v>462</v>
      </c>
      <c r="G69" s="15">
        <v>7</v>
      </c>
      <c r="H69" s="15"/>
      <c r="I69" s="15" t="s">
        <v>463</v>
      </c>
      <c r="J69" s="15" t="s">
        <v>441</v>
      </c>
      <c r="K69" s="15" t="s">
        <v>442</v>
      </c>
      <c r="L69" s="15" t="s">
        <v>443</v>
      </c>
      <c r="M69" s="15"/>
      <c r="N69" s="15" t="s">
        <v>462</v>
      </c>
    </row>
    <row r="70" spans="1:14" x14ac:dyDescent="0.25">
      <c r="D70" s="38"/>
      <c r="E70" s="38"/>
    </row>
    <row r="71" spans="1:14" x14ac:dyDescent="0.25">
      <c r="D71" s="38"/>
      <c r="E71" s="38"/>
    </row>
    <row r="72" spans="1:14" x14ac:dyDescent="0.25">
      <c r="D72" s="38"/>
      <c r="E72" s="38"/>
    </row>
    <row r="73" spans="1:14" x14ac:dyDescent="0.25">
      <c r="D73" s="38"/>
      <c r="E73" s="38"/>
    </row>
    <row r="74" spans="1:14" x14ac:dyDescent="0.25">
      <c r="D74" s="38"/>
      <c r="E74" s="38"/>
    </row>
    <row r="75" spans="1:14" x14ac:dyDescent="0.25">
      <c r="D75" s="38"/>
      <c r="E75" s="38"/>
    </row>
    <row r="76" spans="1:14" x14ac:dyDescent="0.25">
      <c r="D76" s="38"/>
      <c r="E76" s="38"/>
    </row>
    <row r="77" spans="1:14" x14ac:dyDescent="0.25">
      <c r="D77" s="38"/>
      <c r="E77" s="38"/>
    </row>
    <row r="78" spans="1:14" x14ac:dyDescent="0.25">
      <c r="D78" s="38"/>
      <c r="E78" s="38"/>
    </row>
    <row r="79" spans="1:14" x14ac:dyDescent="0.25">
      <c r="D79" s="38"/>
      <c r="E79" s="38"/>
    </row>
    <row r="80" spans="1:14" x14ac:dyDescent="0.25">
      <c r="D80" s="38"/>
      <c r="E80" s="38"/>
    </row>
    <row r="81" spans="4:5" x14ac:dyDescent="0.25">
      <c r="D81" s="38"/>
      <c r="E81" s="38"/>
    </row>
    <row r="82" spans="4:5" x14ac:dyDescent="0.25">
      <c r="D82" s="38"/>
      <c r="E82" s="38"/>
    </row>
    <row r="83" spans="4:5" x14ac:dyDescent="0.25">
      <c r="D83" s="38"/>
      <c r="E83" s="38"/>
    </row>
    <row r="84" spans="4:5" x14ac:dyDescent="0.25">
      <c r="D84" s="38"/>
      <c r="E84" s="38"/>
    </row>
    <row r="85" spans="4:5" x14ac:dyDescent="0.25">
      <c r="D85" s="38"/>
      <c r="E85" s="38"/>
    </row>
    <row r="86" spans="4:5" x14ac:dyDescent="0.25">
      <c r="D86" s="38"/>
      <c r="E86" s="38"/>
    </row>
    <row r="87" spans="4:5" x14ac:dyDescent="0.25">
      <c r="D87" s="38"/>
      <c r="E87" s="38"/>
    </row>
    <row r="88" spans="4:5" x14ac:dyDescent="0.25">
      <c r="D88" s="38"/>
      <c r="E88" s="38"/>
    </row>
    <row r="89" spans="4:5" x14ac:dyDescent="0.25">
      <c r="D89" s="38"/>
      <c r="E89" s="38"/>
    </row>
    <row r="90" spans="4:5" x14ac:dyDescent="0.25">
      <c r="D90" s="38"/>
      <c r="E90" s="38"/>
    </row>
    <row r="91" spans="4:5" x14ac:dyDescent="0.25">
      <c r="D91" s="38"/>
      <c r="E91" s="38"/>
    </row>
    <row r="92" spans="4:5" x14ac:dyDescent="0.25">
      <c r="D92" s="38"/>
      <c r="E92" s="38"/>
    </row>
    <row r="93" spans="4:5" x14ac:dyDescent="0.25">
      <c r="D93" s="38"/>
      <c r="E93" s="38"/>
    </row>
    <row r="94" spans="4:5" x14ac:dyDescent="0.25">
      <c r="D94" s="38"/>
      <c r="E94" s="38"/>
    </row>
    <row r="95" spans="4:5" x14ac:dyDescent="0.25">
      <c r="D95" s="38"/>
      <c r="E95" s="38"/>
    </row>
    <row r="96" spans="4:5" x14ac:dyDescent="0.25">
      <c r="D96" s="38"/>
      <c r="E96" s="38"/>
    </row>
    <row r="97" spans="4:5" x14ac:dyDescent="0.25">
      <c r="D97" s="38"/>
      <c r="E97" s="38"/>
    </row>
    <row r="98" spans="4:5" x14ac:dyDescent="0.25">
      <c r="D98" s="38"/>
      <c r="E98" s="38"/>
    </row>
    <row r="99" spans="4:5" x14ac:dyDescent="0.25">
      <c r="D99" s="38"/>
      <c r="E99" s="38"/>
    </row>
    <row r="100" spans="4:5" x14ac:dyDescent="0.25">
      <c r="D100" s="38"/>
      <c r="E100" s="38"/>
    </row>
  </sheetData>
  <mergeCells count="1">
    <mergeCell ref="A1:M1"/>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8BD2F0D0-52E6-4D30-AEFB-029F5B1DD79C}">
          <x14:formula1>
            <xm:f>FILTRO!$I$2:$I$6</xm:f>
          </x14:formula1>
          <xm:sqref>C3:C69</xm:sqref>
        </x14:dataValidation>
        <x14:dataValidation type="list" allowBlank="1" showInputMessage="1" showErrorMessage="1" xr:uid="{7C7A8CED-CC93-41A5-B4B1-443DAA05B8EC}">
          <x14:formula1>
            <xm:f>FILTRO!$J$2:$J$4</xm:f>
          </x14:formula1>
          <xm:sqref>F3</xm:sqref>
        </x14:dataValidation>
        <x14:dataValidation type="list" allowBlank="1" showInputMessage="1" showErrorMessage="1" xr:uid="{9095BD58-99DE-4D6A-B109-86E6D10952F0}">
          <x14:formula1>
            <xm:f>FILTRO!$K$2:$K$32</xm:f>
          </x14:formula1>
          <xm:sqref>G3:G69</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c9fa2ff5-4241-4755-bdec-11c5f369898d" xsi:nil="true"/>
    <_ip_UnifiedCompliancePolicyProperties xmlns="http://schemas.microsoft.com/sharepoint/v3" xsi:nil="true"/>
    <Modificaci_x00f3_n xmlns="612f0692-a35d-4227-ae2b-09b69c7561dc" xsi:nil="true"/>
    <lcf76f155ced4ddcb4097134ff3c332f xmlns="612f0692-a35d-4227-ae2b-09b69c7561d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8132F03F7BAE544691E1D8ED0BBAB87D" ma:contentTypeVersion="21" ma:contentTypeDescription="Crear nuevo documento." ma:contentTypeScope="" ma:versionID="e484fd9c9d78115df5d140a0e15bddb5">
  <xsd:schema xmlns:xsd="http://www.w3.org/2001/XMLSchema" xmlns:xs="http://www.w3.org/2001/XMLSchema" xmlns:p="http://schemas.microsoft.com/office/2006/metadata/properties" xmlns:ns1="http://schemas.microsoft.com/sharepoint/v3" xmlns:ns2="612f0692-a35d-4227-ae2b-09b69c7561dc" xmlns:ns3="c9fa2ff5-4241-4755-bdec-11c5f369898d" targetNamespace="http://schemas.microsoft.com/office/2006/metadata/properties" ma:root="true" ma:fieldsID="60915895e4af9a5e40828d772a1103ab" ns1:_="" ns2:_="" ns3:_="">
    <xsd:import namespace="http://schemas.microsoft.com/sharepoint/v3"/>
    <xsd:import namespace="612f0692-a35d-4227-ae2b-09b69c7561dc"/>
    <xsd:import namespace="c9fa2ff5-4241-4755-bdec-11c5f369898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odificaci_x00f3_n" minOccurs="0"/>
                <xsd:element ref="ns2:lcf76f155ced4ddcb4097134ff3c332f" minOccurs="0"/>
                <xsd:element ref="ns3:TaxCatchAll" minOccurs="0"/>
                <xsd:element ref="ns2:MediaServiceDateTaken" minOccurs="0"/>
                <xsd:element ref="ns2:MediaLengthInSeconds" minOccurs="0"/>
                <xsd:element ref="ns2:MediaServiceAutoKeyPoints" minOccurs="0"/>
                <xsd:element ref="ns2:MediaServiceKeyPoints" minOccurs="0"/>
                <xsd:element ref="ns2:MediaServiceSearchProperties" minOccurs="0"/>
                <xsd:element ref="ns2:MediaServiceObjectDetectorVersion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Propiedades de la Directiva de cumplimiento unificado" ma:hidden="true" ma:internalName="_ip_UnifiedCompliancePolicyProperties">
      <xsd:simpleType>
        <xsd:restriction base="dms:Note"/>
      </xsd:simpleType>
    </xsd:element>
    <xsd:element name="_ip_UnifiedCompliancePolicyUIAction" ma:index="27"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12f0692-a35d-4227-ae2b-09b69c7561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odificaci_x00f3_n" ma:index="16" nillable="true" ma:displayName="Modificación" ma:format="DateTime" ma:internalName="Modificaci_x00f3_n">
      <xsd:simpleType>
        <xsd:restriction base="dms:DateTime"/>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c60ce6ac-67d1-42ce-9507-033cdd0fb753"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AutoKeyPoints" ma:index="22" nillable="true" ma:displayName="MediaServiceAutoKeyPoints" ma:hidden="true" ma:internalName="MediaServiceAutoKeyPoints" ma:readOnly="true">
      <xsd:simpleType>
        <xsd:restriction base="dms:Note"/>
      </xsd:simpleType>
    </xsd:element>
    <xsd:element name="MediaServiceKeyPoints" ma:index="23" nillable="true" ma:displayName="KeyPoints" ma:internalName="MediaServiceKeyPoints" ma:readOnly="true">
      <xsd:simpleType>
        <xsd:restriction base="dms:Note">
          <xsd:maxLength value="255"/>
        </xsd:restrictio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9fa2ff5-4241-4755-bdec-11c5f369898d" elementFormDefault="qualified">
    <xsd:import namespace="http://schemas.microsoft.com/office/2006/documentManagement/types"/>
    <xsd:import namespace="http://schemas.microsoft.com/office/infopath/2007/PartnerControls"/>
    <xsd:element name="SharedWithUsers" ma:index="14"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les de uso compartido" ma:internalName="SharedWithDetails" ma:readOnly="true">
      <xsd:simpleType>
        <xsd:restriction base="dms:Note">
          <xsd:maxLength value="255"/>
        </xsd:restriction>
      </xsd:simpleType>
    </xsd:element>
    <xsd:element name="TaxCatchAll" ma:index="19" nillable="true" ma:displayName="Taxonomy Catch All Column" ma:hidden="true" ma:list="{4eead161-715d-407f-806a-5c4f98ce1a31}" ma:internalName="TaxCatchAll" ma:showField="CatchAllData" ma:web="c9fa2ff5-4241-4755-bdec-11c5f369898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710A79-796B-4747-B42A-CDF5DE71A590}">
  <ds:schemaRefs>
    <ds:schemaRef ds:uri="http://schemas.microsoft.com/office/2006/metadata/properties"/>
    <ds:schemaRef ds:uri="http://schemas.microsoft.com/office/infopath/2007/PartnerControls"/>
    <ds:schemaRef ds:uri="http://schemas.microsoft.com/sharepoint/v3"/>
    <ds:schemaRef ds:uri="c9fa2ff5-4241-4755-bdec-11c5f369898d"/>
    <ds:schemaRef ds:uri="612f0692-a35d-4227-ae2b-09b69c7561dc"/>
  </ds:schemaRefs>
</ds:datastoreItem>
</file>

<file path=customXml/itemProps2.xml><?xml version="1.0" encoding="utf-8"?>
<ds:datastoreItem xmlns:ds="http://schemas.openxmlformats.org/officeDocument/2006/customXml" ds:itemID="{40ABE366-40E8-4826-A3F5-1FFD3933E216}">
  <ds:schemaRefs>
    <ds:schemaRef ds:uri="http://schemas.microsoft.com/sharepoint/v3/contenttype/forms"/>
  </ds:schemaRefs>
</ds:datastoreItem>
</file>

<file path=customXml/itemProps3.xml><?xml version="1.0" encoding="utf-8"?>
<ds:datastoreItem xmlns:ds="http://schemas.openxmlformats.org/officeDocument/2006/customXml" ds:itemID="{B03BB360-2000-407D-9849-F3FC94EAD1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12f0692-a35d-4227-ae2b-09b69c7561dc"/>
    <ds:schemaRef ds:uri="c9fa2ff5-4241-4755-bdec-11c5f369898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FILTRO</vt:lpstr>
      <vt:lpstr>HOGAR - CANAL CALLE</vt:lpstr>
      <vt:lpstr>MOVIL - CANAL PDV</vt:lpstr>
      <vt:lpstr>PREPAGO - CANAL TAT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Luzney Loaiza Galvis</dc:creator>
  <cp:keywords/>
  <dc:description/>
  <cp:lastModifiedBy>Jhon Ferney Quiceno Sossa</cp:lastModifiedBy>
  <cp:revision/>
  <dcterms:created xsi:type="dcterms:W3CDTF">2025-01-28T22:01:11Z</dcterms:created>
  <dcterms:modified xsi:type="dcterms:W3CDTF">2026-03-12T15:56:58Z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bdf07b2-0175-4a85-af11-305389ad5d4d_Enabled">
    <vt:lpwstr>true</vt:lpwstr>
  </property>
  <property fmtid="{D5CDD505-2E9C-101B-9397-08002B2CF9AE}" pid="3" name="MSIP_Label_5bdf07b2-0175-4a85-af11-305389ad5d4d_SetDate">
    <vt:lpwstr>2025-01-28T22:46:43Z</vt:lpwstr>
  </property>
  <property fmtid="{D5CDD505-2E9C-101B-9397-08002B2CF9AE}" pid="4" name="MSIP_Label_5bdf07b2-0175-4a85-af11-305389ad5d4d_Method">
    <vt:lpwstr>Standard</vt:lpwstr>
  </property>
  <property fmtid="{D5CDD505-2E9C-101B-9397-08002B2CF9AE}" pid="5" name="MSIP_Label_5bdf07b2-0175-4a85-af11-305389ad5d4d_Name">
    <vt:lpwstr>Interno</vt:lpwstr>
  </property>
  <property fmtid="{D5CDD505-2E9C-101B-9397-08002B2CF9AE}" pid="6" name="MSIP_Label_5bdf07b2-0175-4a85-af11-305389ad5d4d_SiteId">
    <vt:lpwstr>46bb22b8-4c2c-40ff-8360-7b6334821279</vt:lpwstr>
  </property>
  <property fmtid="{D5CDD505-2E9C-101B-9397-08002B2CF9AE}" pid="7" name="MSIP_Label_5bdf07b2-0175-4a85-af11-305389ad5d4d_ActionId">
    <vt:lpwstr>ce2afeff-7cf0-43e8-92aa-498ae8ec5dce</vt:lpwstr>
  </property>
  <property fmtid="{D5CDD505-2E9C-101B-9397-08002B2CF9AE}" pid="8" name="MSIP_Label_5bdf07b2-0175-4a85-af11-305389ad5d4d_ContentBits">
    <vt:lpwstr>2</vt:lpwstr>
  </property>
  <property fmtid="{D5CDD505-2E9C-101B-9397-08002B2CF9AE}" pid="9" name="ContentTypeId">
    <vt:lpwstr>0x0101008132F03F7BAE544691E1D8ED0BBAB87D</vt:lpwstr>
  </property>
  <property fmtid="{D5CDD505-2E9C-101B-9397-08002B2CF9AE}" pid="10" name="MediaServiceImageTags">
    <vt:lpwstr/>
  </property>
  <property fmtid="{D5CDD505-2E9C-101B-9397-08002B2CF9AE}" pid="11" name="MSIP_Label_5bdf07b2-0175-4a85-af11-305389ad5d4d_Tag">
    <vt:lpwstr>10, 3, 0, 2</vt:lpwstr>
  </property>
</Properties>
</file>